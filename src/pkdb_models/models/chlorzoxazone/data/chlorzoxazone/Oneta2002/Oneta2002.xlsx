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bGroups" sheetId="1" state="visible" r:id="rId2"/>
    <sheet name="TabInterventions" sheetId="2" state="visible" r:id="rId3"/>
    <sheet name="Fig2" sheetId="3" state="visible" r:id="rId4"/>
    <sheet name="Fig3" sheetId="4" state="visible" r:id="rId5"/>
    <sheet name="Fig3_NALD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<sst xmlns="http://schemas.openxmlformats.org/spreadsheetml/2006/main" count="785" uniqueCount="100">
  <si>
    <t xml:space="preserve">Study</t>
  </si>
  <si>
    <t xml:space="preserve">name</t>
  </si>
  <si>
    <t xml:space="preserve">parent</t>
  </si>
  <si>
    <t xml:space="preserve">Measurement Type</t>
  </si>
  <si>
    <t xml:space="preserve">group_count</t>
  </si>
  <si>
    <t xml:space="preserve">Choice</t>
  </si>
  <si>
    <t xml:space="preserve">count</t>
  </si>
  <si>
    <t xml:space="preserve">mean</t>
  </si>
  <si>
    <t xml:space="preserve">sd</t>
  </si>
  <si>
    <t xml:space="preserve">unit</t>
  </si>
  <si>
    <t xml:space="preserve">Comments</t>
  </si>
  <si>
    <t xml:space="preserve">study</t>
  </si>
  <si>
    <t xml:space="preserve">measurement_type</t>
  </si>
  <si>
    <t xml:space="preserve">choice</t>
  </si>
  <si>
    <t xml:space="preserve">comments</t>
  </si>
  <si>
    <t xml:space="preserve">Oneta2002</t>
  </si>
  <si>
    <t xml:space="preserve">all</t>
  </si>
  <si>
    <t xml:space="preserve">sex</t>
  </si>
  <si>
    <t xml:space="preserve">M</t>
  </si>
  <si>
    <t xml:space="preserve">NR</t>
  </si>
  <si>
    <t xml:space="preserve">species</t>
  </si>
  <si>
    <t xml:space="preserve">homo sapiens</t>
  </si>
  <si>
    <t xml:space="preserve">healthy</t>
  </si>
  <si>
    <t xml:space="preserve">Y</t>
  </si>
  <si>
    <t xml:space="preserve">N</t>
  </si>
  <si>
    <t xml:space="preserve">age</t>
  </si>
  <si>
    <t xml:space="preserve">yr</t>
  </si>
  <si>
    <t xml:space="preserve">smoking</t>
  </si>
  <si>
    <t xml:space="preserve">abstinence alcohol</t>
  </si>
  <si>
    <t xml:space="preserve">d</t>
  </si>
  <si>
    <t xml:space="preserve">alcoholics</t>
  </si>
  <si>
    <t xml:space="preserve">alcohol amount</t>
  </si>
  <si>
    <t xml:space="preserve">g/day</t>
  </si>
  <si>
    <t xml:space="preserve">alcohol duration</t>
  </si>
  <si>
    <t xml:space="preserve">disease</t>
  </si>
  <si>
    <t xml:space="preserve">liver cirrhosis</t>
  </si>
  <si>
    <t xml:space="preserve">liver fibrosis</t>
  </si>
  <si>
    <t xml:space="preserve">NALD</t>
  </si>
  <si>
    <t xml:space="preserve">hcv</t>
  </si>
  <si>
    <t xml:space="preserve">fatty liver disease</t>
  </si>
  <si>
    <t xml:space="preserve">form</t>
  </si>
  <si>
    <t xml:space="preserve">measurement</t>
  </si>
  <si>
    <t xml:space="preserve">substance</t>
  </si>
  <si>
    <t xml:space="preserve">value</t>
  </si>
  <si>
    <t xml:space="preserve">time</t>
  </si>
  <si>
    <t xml:space="preserve">time_unit</t>
  </si>
  <si>
    <t xml:space="preserve">route</t>
  </si>
  <si>
    <t xml:space="preserve">application</t>
  </si>
  <si>
    <t xml:space="preserve">tablet</t>
  </si>
  <si>
    <t xml:space="preserve">CZX_IND</t>
  </si>
  <si>
    <t xml:space="preserve">dosing</t>
  </si>
  <si>
    <t xml:space="preserve">chlorzoxazone</t>
  </si>
  <si>
    <t xml:space="preserve">mg</t>
  </si>
  <si>
    <t xml:space="preserve">7|14|21|28</t>
  </si>
  <si>
    <t xml:space="preserve">oral</t>
  </si>
  <si>
    <t xml:space="preserve">multiple dose</t>
  </si>
  <si>
    <t xml:space="preserve">
</t>
  </si>
  <si>
    <t xml:space="preserve">CZX_WITH</t>
  </si>
  <si>
    <t xml:space="preserve">1|3|8|15</t>
  </si>
  <si>
    <t xml:space="preserve">CZX_NALD</t>
  </si>
  <si>
    <t xml:space="preserve">single dose</t>
  </si>
  <si>
    <t xml:space="preserve">solution</t>
  </si>
  <si>
    <t xml:space="preserve">ALC</t>
  </si>
  <si>
    <t xml:space="preserve">ethanol</t>
  </si>
  <si>
    <t xml:space="preserve">g</t>
  </si>
  <si>
    <t xml:space="preserve">S1T28R28</t>
  </si>
  <si>
    <t xml:space="preserve">individual</t>
  </si>
  <si>
    <t xml:space="preserve">group</t>
  </si>
  <si>
    <t xml:space="preserve">intervention</t>
  </si>
  <si>
    <t xml:space="preserve">Label</t>
  </si>
  <si>
    <t xml:space="preserve">Substance</t>
  </si>
  <si>
    <t xml:space="preserve">Tissue</t>
  </si>
  <si>
    <t xml:space="preserve">Unit</t>
  </si>
  <si>
    <t xml:space="preserve">Method</t>
  </si>
  <si>
    <t xml:space="preserve">label</t>
  </si>
  <si>
    <t xml:space="preserve">tissue</t>
  </si>
  <si>
    <t xml:space="preserve">method</t>
  </si>
  <si>
    <t xml:space="preserve">Healthy_1</t>
  </si>
  <si>
    <t xml:space="preserve">CZX_IND, ALC</t>
  </si>
  <si>
    <t xml:space="preserve">metabolic ratio</t>
  </si>
  <si>
    <t xml:space="preserve">6-hydroxychlorzoxazone/chlorzoxazone</t>
  </si>
  <si>
    <t xml:space="preserve">plasma</t>
  </si>
  <si>
    <t xml:space="preserve">weeks</t>
  </si>
  <si>
    <t xml:space="preserve">dimensionless</t>
  </si>
  <si>
    <t xml:space="preserve">HPLC</t>
  </si>
  <si>
    <t xml:space="preserve">Healthy_2</t>
  </si>
  <si>
    <t xml:space="preserve">Healthy_3</t>
  </si>
  <si>
    <t xml:space="preserve">Healthy_4</t>
  </si>
  <si>
    <t xml:space="preserve">Healthy_5</t>
  </si>
  <si>
    <t xml:space="preserve">Alcoholic_1</t>
  </si>
  <si>
    <t xml:space="preserve">days</t>
  </si>
  <si>
    <t xml:space="preserve">Alcoholic_2</t>
  </si>
  <si>
    <t xml:space="preserve">Alcoholic_3</t>
  </si>
  <si>
    <t xml:space="preserve">Alcoholic_4</t>
  </si>
  <si>
    <t xml:space="preserve">Alcoholic_5</t>
  </si>
  <si>
    <t xml:space="preserve">NALD_1</t>
  </si>
  <si>
    <t xml:space="preserve">NALD_2</t>
  </si>
  <si>
    <t xml:space="preserve">NALD_3</t>
  </si>
  <si>
    <t xml:space="preserve">NALD_4</t>
  </si>
  <si>
    <t xml:space="preserve">NALD_5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</si>
</sst>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31F20"/>
      <name val="arial"/>
      <family val="2"/>
      <charset val="1"/>
    </font>
    <font>
      <sz val="10"/>
      <color rgb="FF231F2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000000"/>
        <bgColor rgb="FF231F20"/>
      </patternFill>
    </fill>
    <fill>
      <patternFill patternType="solid">
        <fgColor rgb="FFCCCCCC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160200</xdr:colOff>
      <xdr:row>28</xdr:row>
      <xdr:rowOff>13680</xdr:rowOff>
    </xdr:from>
    <xdr:to>
      <xdr:col>6</xdr:col>
      <xdr:colOff>341280</xdr:colOff>
      <xdr:row>47</xdr:row>
      <xdr:rowOff>123840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60200" y="4609800"/>
          <a:ext cx="10139760" cy="319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49</xdr:row>
      <xdr:rowOff>108720</xdr:rowOff>
    </xdr:from>
    <xdr:to>
      <xdr:col>6</xdr:col>
      <xdr:colOff>275040</xdr:colOff>
      <xdr:row>78</xdr:row>
      <xdr:rowOff>32040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0" y="8118720"/>
          <a:ext cx="10233720" cy="4637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570600</xdr:colOff>
      <xdr:row>32</xdr:row>
      <xdr:rowOff>87120</xdr:rowOff>
    </xdr:from>
    <xdr:to>
      <xdr:col>14</xdr:col>
      <xdr:colOff>495720</xdr:colOff>
      <xdr:row>163</xdr:row>
      <xdr:rowOff>86040</xdr:rowOff>
    </xdr:to>
    <xdr:pic>
      <xdr:nvPicPr>
        <xdr:cNvPr id="2" name="Image 3" descr=""/>
        <xdr:cNvPicPr/>
      </xdr:nvPicPr>
      <xdr:blipFill>
        <a:blip r:embed="rId1"/>
        <a:stretch/>
      </xdr:blipFill>
      <xdr:spPr>
        <a:xfrm>
          <a:off x="1387080" y="5352480"/>
          <a:ext cx="15104880" cy="2129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10</xdr:col>
      <xdr:colOff>400320</xdr:colOff>
      <xdr:row>2</xdr:row>
      <xdr:rowOff>60840</xdr:rowOff>
    </xdr:from>
    <xdr:to>
      <xdr:col>23</xdr:col>
      <xdr:colOff>62280</xdr:colOff>
      <xdr:row>60</xdr:row>
      <xdr:rowOff>58320</xdr:rowOff>
    </xdr:to>
    <xdr:pic>
      <xdr:nvPicPr>
        <xdr:cNvPr id="3" name="Image 4" descr=""/>
        <xdr:cNvPicPr/>
      </xdr:nvPicPr>
      <xdr:blipFill>
        <a:blip r:embed="rId1"/>
        <a:stretch/>
      </xdr:blipFill>
      <xdr:spPr>
        <a:xfrm>
          <a:off x="13116960" y="385920"/>
          <a:ext cx="10261080" cy="94896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J35" activeCellId="0" sqref="J35"/>
    </sheetView>
  </sheetViews>
  <sheetFormatPr defaultColWidth="11.89453125" defaultRowHeight="12.8" zeroHeight="false" outlineLevelRow="0" outlineLevelCol="0"/>
  <cols>
    <col collapsed="false" customWidth="true" hidden="false" outlineLevel="0" max="1" min="1" style="1" width="14.16"/>
    <col collapsed="false" customWidth="true" hidden="false" outlineLevel="0" max="2" min="2" style="1" width="43.72"/>
    <col collapsed="false" customWidth="true" hidden="false" outlineLevel="0" max="3" min="3" style="1" width="21.73"/>
    <col collapsed="false" customWidth="true" hidden="false" outlineLevel="0" max="4" min="4" style="1" width="28.17"/>
    <col collapsed="false" customWidth="true" hidden="false" outlineLevel="0" max="5" min="5" style="1" width="18.89"/>
    <col collapsed="false" customWidth="true" hidden="false" outlineLevel="0" max="6" min="6" style="1" width="14.47"/>
    <col collapsed="false" customWidth="true" hidden="false" outlineLevel="0" max="9" min="7" style="1" width="11.52"/>
    <col collapsed="false" customWidth="true" hidden="false" outlineLevel="0" max="10" min="10" style="1" width="21.95"/>
    <col collapsed="false" customWidth="false" hidden="false" outlineLevel="0" max="1020" min="11" style="1" width="11.88"/>
    <col collapsed="false" customWidth="true" hidden="false" outlineLevel="0" max="1021" min="1021" style="1" width="11.52"/>
    <col collapsed="false" customWidth="true" hidden="false" outlineLevel="0" max="1024" min="1022" style="0" width="11.52"/>
  </cols>
  <sheetData>
    <row r="1" customFormat="false" ht="1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customFormat="false" ht="13" hidden="false" customHeight="false" outlineLevel="0" collapsed="false">
      <c r="A2" s="4" t="s">
        <v>11</v>
      </c>
      <c r="B2" s="4" t="s">
        <v>1</v>
      </c>
      <c r="C2" s="4" t="s">
        <v>2</v>
      </c>
      <c r="D2" s="4" t="s">
        <v>12</v>
      </c>
      <c r="E2" s="4" t="s">
        <v>4</v>
      </c>
      <c r="F2" s="4" t="s">
        <v>13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14</v>
      </c>
    </row>
    <row r="3" customFormat="false" ht="12.8" hidden="false" customHeight="false" outlineLevel="0" collapsed="false">
      <c r="A3" s="6" t="s">
        <v>15</v>
      </c>
      <c r="B3" s="7" t="s">
        <v>16</v>
      </c>
      <c r="D3" s="7" t="s">
        <v>17</v>
      </c>
      <c r="E3" s="7" t="n">
        <v>15</v>
      </c>
      <c r="F3" s="7" t="s">
        <v>18</v>
      </c>
      <c r="G3" s="7" t="n">
        <v>5</v>
      </c>
      <c r="H3" s="7"/>
      <c r="I3" s="7"/>
    </row>
    <row r="4" customFormat="false" ht="12.8" hidden="false" customHeight="false" outlineLevel="0" collapsed="false">
      <c r="A4" s="6" t="s">
        <v>15</v>
      </c>
      <c r="B4" s="7" t="s">
        <v>16</v>
      </c>
      <c r="D4" s="7" t="s">
        <v>17</v>
      </c>
      <c r="E4" s="7" t="n">
        <v>15</v>
      </c>
      <c r="F4" s="7" t="s">
        <v>19</v>
      </c>
      <c r="G4" s="7" t="n">
        <v>10</v>
      </c>
      <c r="H4" s="7"/>
      <c r="I4" s="7"/>
    </row>
    <row r="5" customFormat="false" ht="12.8" hidden="false" customHeight="false" outlineLevel="0" collapsed="false">
      <c r="A5" s="6" t="s">
        <v>15</v>
      </c>
      <c r="B5" s="7" t="s">
        <v>16</v>
      </c>
      <c r="D5" s="7" t="s">
        <v>20</v>
      </c>
      <c r="E5" s="7" t="n">
        <v>15</v>
      </c>
      <c r="F5" s="7" t="s">
        <v>21</v>
      </c>
      <c r="G5" s="7" t="n">
        <v>15</v>
      </c>
      <c r="H5" s="7"/>
      <c r="I5" s="7"/>
    </row>
    <row r="6" customFormat="false" ht="12.8" hidden="false" customHeight="false" outlineLevel="0" collapsed="false">
      <c r="A6" s="6" t="s">
        <v>15</v>
      </c>
      <c r="B6" s="6" t="s">
        <v>16</v>
      </c>
      <c r="D6" s="6" t="s">
        <v>22</v>
      </c>
      <c r="E6" s="7" t="n">
        <v>15</v>
      </c>
      <c r="F6" s="6" t="s">
        <v>23</v>
      </c>
      <c r="G6" s="7" t="n">
        <v>10</v>
      </c>
      <c r="H6" s="7"/>
      <c r="I6" s="7"/>
    </row>
    <row r="7" customFormat="false" ht="12.8" hidden="false" customHeight="false" outlineLevel="0" collapsed="false">
      <c r="A7" s="6" t="s">
        <v>15</v>
      </c>
      <c r="B7" s="6" t="s">
        <v>16</v>
      </c>
      <c r="D7" s="6" t="s">
        <v>22</v>
      </c>
      <c r="E7" s="7" t="n">
        <v>15</v>
      </c>
      <c r="F7" s="6" t="s">
        <v>24</v>
      </c>
      <c r="G7" s="7" t="n">
        <v>5</v>
      </c>
      <c r="H7" s="7"/>
      <c r="I7" s="7"/>
    </row>
    <row r="8" customFormat="false" ht="12.8" hidden="false" customHeight="false" outlineLevel="0" collapsed="false">
      <c r="A8" s="6" t="s">
        <v>15</v>
      </c>
      <c r="B8" s="6" t="s">
        <v>22</v>
      </c>
      <c r="C8" s="1" t="s">
        <v>16</v>
      </c>
      <c r="D8" s="6" t="s">
        <v>17</v>
      </c>
      <c r="E8" s="6" t="n">
        <v>5</v>
      </c>
      <c r="F8" s="6" t="s">
        <v>18</v>
      </c>
      <c r="G8" s="7" t="n">
        <v>5</v>
      </c>
      <c r="H8" s="7"/>
      <c r="I8" s="7"/>
    </row>
    <row r="9" customFormat="false" ht="12.8" hidden="false" customHeight="false" outlineLevel="0" collapsed="false">
      <c r="A9" s="6" t="s">
        <v>15</v>
      </c>
      <c r="B9" s="6" t="s">
        <v>22</v>
      </c>
      <c r="C9" s="1" t="s">
        <v>16</v>
      </c>
      <c r="D9" s="6" t="s">
        <v>25</v>
      </c>
      <c r="E9" s="6" t="n">
        <v>5</v>
      </c>
      <c r="F9" s="6"/>
      <c r="G9" s="7" t="n">
        <v>5</v>
      </c>
      <c r="H9" s="7" t="n">
        <v>27.4</v>
      </c>
      <c r="I9" s="7" t="n">
        <v>1.8</v>
      </c>
      <c r="J9" s="1" t="s">
        <v>26</v>
      </c>
    </row>
    <row r="10" customFormat="false" ht="12.8" hidden="false" customHeight="false" outlineLevel="0" collapsed="false">
      <c r="A10" s="6" t="s">
        <v>15</v>
      </c>
      <c r="B10" s="6" t="s">
        <v>22</v>
      </c>
      <c r="C10" s="1" t="s">
        <v>16</v>
      </c>
      <c r="D10" s="6" t="s">
        <v>27</v>
      </c>
      <c r="E10" s="6" t="n">
        <v>5</v>
      </c>
      <c r="F10" s="6" t="s">
        <v>24</v>
      </c>
      <c r="G10" s="7" t="n">
        <v>5</v>
      </c>
      <c r="H10" s="7"/>
      <c r="I10" s="7"/>
    </row>
    <row r="11" customFormat="false" ht="12.8" hidden="false" customHeight="false" outlineLevel="0" collapsed="false">
      <c r="A11" s="6" t="s">
        <v>15</v>
      </c>
      <c r="B11" s="6" t="s">
        <v>22</v>
      </c>
      <c r="C11" s="1" t="s">
        <v>16</v>
      </c>
      <c r="D11" s="1" t="s">
        <v>28</v>
      </c>
      <c r="E11" s="6" t="n">
        <v>5</v>
      </c>
      <c r="G11" s="1" t="n">
        <v>5</v>
      </c>
      <c r="H11" s="1" t="n">
        <v>19.2</v>
      </c>
      <c r="J11" s="7" t="s">
        <v>29</v>
      </c>
    </row>
    <row r="12" customFormat="false" ht="12.8" hidden="false" customHeight="false" outlineLevel="0" collapsed="false">
      <c r="A12" s="6" t="s">
        <v>15</v>
      </c>
      <c r="B12" s="6" t="s">
        <v>30</v>
      </c>
      <c r="C12" s="1" t="s">
        <v>16</v>
      </c>
      <c r="D12" s="6" t="s">
        <v>17</v>
      </c>
      <c r="E12" s="6" t="n">
        <v>5</v>
      </c>
      <c r="F12" s="6" t="s">
        <v>19</v>
      </c>
      <c r="G12" s="7" t="n">
        <v>5</v>
      </c>
      <c r="H12" s="7"/>
      <c r="I12" s="7"/>
    </row>
    <row r="13" customFormat="false" ht="12.8" hidden="false" customHeight="false" outlineLevel="0" collapsed="false">
      <c r="A13" s="6" t="s">
        <v>15</v>
      </c>
      <c r="B13" s="6" t="s">
        <v>30</v>
      </c>
      <c r="C13" s="1" t="s">
        <v>16</v>
      </c>
      <c r="D13" s="6" t="s">
        <v>25</v>
      </c>
      <c r="E13" s="6" t="n">
        <v>5</v>
      </c>
      <c r="F13" s="6"/>
      <c r="G13" s="7" t="n">
        <v>5</v>
      </c>
      <c r="H13" s="7" t="n">
        <v>46.6</v>
      </c>
      <c r="I13" s="7" t="n">
        <v>2.8</v>
      </c>
      <c r="J13" s="1" t="s">
        <v>26</v>
      </c>
    </row>
    <row r="14" customFormat="false" ht="12.8" hidden="false" customHeight="false" outlineLevel="0" collapsed="false">
      <c r="A14" s="6" t="s">
        <v>15</v>
      </c>
      <c r="B14" s="6" t="s">
        <v>30</v>
      </c>
      <c r="C14" s="1" t="s">
        <v>16</v>
      </c>
      <c r="D14" s="6" t="s">
        <v>27</v>
      </c>
      <c r="E14" s="6" t="n">
        <v>5</v>
      </c>
      <c r="F14" s="6" t="s">
        <v>23</v>
      </c>
      <c r="G14" s="7" t="n">
        <v>5</v>
      </c>
      <c r="H14" s="7"/>
      <c r="I14" s="7"/>
    </row>
    <row r="15" customFormat="false" ht="12.8" hidden="false" customHeight="false" outlineLevel="0" collapsed="false">
      <c r="A15" s="6" t="s">
        <v>15</v>
      </c>
      <c r="B15" s="6" t="s">
        <v>30</v>
      </c>
      <c r="C15" s="1" t="s">
        <v>16</v>
      </c>
      <c r="D15" s="1" t="s">
        <v>31</v>
      </c>
      <c r="E15" s="6" t="n">
        <v>5</v>
      </c>
      <c r="G15" s="1" t="n">
        <v>5</v>
      </c>
      <c r="H15" s="1" t="n">
        <v>282</v>
      </c>
      <c r="I15" s="1" t="n">
        <v>41</v>
      </c>
      <c r="J15" s="7" t="s">
        <v>32</v>
      </c>
    </row>
    <row r="16" customFormat="false" ht="12.8" hidden="false" customHeight="false" outlineLevel="0" collapsed="false">
      <c r="A16" s="6" t="s">
        <v>15</v>
      </c>
      <c r="B16" s="6" t="s">
        <v>30</v>
      </c>
      <c r="C16" s="1" t="s">
        <v>16</v>
      </c>
      <c r="D16" s="1" t="s">
        <v>33</v>
      </c>
      <c r="E16" s="6" t="n">
        <v>5</v>
      </c>
      <c r="G16" s="1" t="n">
        <v>5</v>
      </c>
      <c r="H16" s="1" t="n">
        <v>23.4</v>
      </c>
      <c r="I16" s="1" t="n">
        <v>2.8</v>
      </c>
      <c r="J16" s="1" t="s">
        <v>26</v>
      </c>
    </row>
    <row r="17" customFormat="false" ht="12.8" hidden="false" customHeight="false" outlineLevel="0" collapsed="false">
      <c r="A17" s="6" t="s">
        <v>15</v>
      </c>
      <c r="B17" s="6" t="s">
        <v>30</v>
      </c>
      <c r="C17" s="1" t="s">
        <v>16</v>
      </c>
      <c r="D17" s="1" t="s">
        <v>34</v>
      </c>
      <c r="E17" s="6" t="n">
        <v>5</v>
      </c>
      <c r="F17" s="1" t="s">
        <v>35</v>
      </c>
      <c r="G17" s="1" t="n">
        <v>1</v>
      </c>
    </row>
    <row r="18" customFormat="false" ht="12.8" hidden="false" customHeight="false" outlineLevel="0" collapsed="false">
      <c r="A18" s="6" t="s">
        <v>15</v>
      </c>
      <c r="B18" s="6" t="s">
        <v>30</v>
      </c>
      <c r="C18" s="1" t="s">
        <v>16</v>
      </c>
      <c r="D18" s="1" t="s">
        <v>34</v>
      </c>
      <c r="E18" s="6" t="n">
        <v>5</v>
      </c>
      <c r="F18" s="1" t="s">
        <v>36</v>
      </c>
      <c r="G18" s="1" t="n">
        <v>1</v>
      </c>
    </row>
    <row r="19" customFormat="false" ht="12.8" hidden="false" customHeight="false" outlineLevel="0" collapsed="false">
      <c r="A19" s="6" t="s">
        <v>15</v>
      </c>
      <c r="B19" s="6" t="s">
        <v>37</v>
      </c>
      <c r="C19" s="1" t="s">
        <v>16</v>
      </c>
      <c r="D19" s="6" t="s">
        <v>17</v>
      </c>
      <c r="E19" s="6" t="n">
        <v>5</v>
      </c>
      <c r="F19" s="6" t="s">
        <v>19</v>
      </c>
      <c r="G19" s="7" t="n">
        <v>5</v>
      </c>
      <c r="H19" s="7"/>
      <c r="I19" s="7"/>
    </row>
    <row r="20" customFormat="false" ht="12.8" hidden="false" customHeight="false" outlineLevel="0" collapsed="false">
      <c r="A20" s="6" t="s">
        <v>15</v>
      </c>
      <c r="B20" s="6" t="s">
        <v>37</v>
      </c>
      <c r="C20" s="1" t="s">
        <v>16</v>
      </c>
      <c r="D20" s="6" t="s">
        <v>25</v>
      </c>
      <c r="E20" s="6" t="n">
        <v>5</v>
      </c>
      <c r="F20" s="6"/>
      <c r="G20" s="7" t="n">
        <v>5</v>
      </c>
      <c r="H20" s="7" t="n">
        <v>52.2</v>
      </c>
      <c r="I20" s="7" t="n">
        <v>4.7</v>
      </c>
      <c r="J20" s="1" t="s">
        <v>26</v>
      </c>
    </row>
    <row r="21" customFormat="false" ht="12.8" hidden="false" customHeight="false" outlineLevel="0" collapsed="false">
      <c r="A21" s="6" t="s">
        <v>15</v>
      </c>
      <c r="B21" s="6" t="s">
        <v>37</v>
      </c>
      <c r="C21" s="1" t="s">
        <v>16</v>
      </c>
      <c r="D21" s="6" t="s">
        <v>27</v>
      </c>
      <c r="E21" s="6" t="n">
        <v>5</v>
      </c>
      <c r="F21" s="6" t="s">
        <v>23</v>
      </c>
      <c r="G21" s="7" t="n">
        <v>1</v>
      </c>
      <c r="H21" s="7"/>
      <c r="I21" s="7"/>
    </row>
    <row r="22" customFormat="false" ht="12.8" hidden="false" customHeight="false" outlineLevel="0" collapsed="false">
      <c r="A22" s="6" t="s">
        <v>15</v>
      </c>
      <c r="B22" s="6" t="s">
        <v>37</v>
      </c>
      <c r="C22" s="1" t="s">
        <v>16</v>
      </c>
      <c r="D22" s="6" t="s">
        <v>27</v>
      </c>
      <c r="E22" s="6" t="n">
        <v>5</v>
      </c>
      <c r="F22" s="6" t="s">
        <v>24</v>
      </c>
      <c r="G22" s="7" t="n">
        <v>4</v>
      </c>
      <c r="H22" s="7"/>
      <c r="I22" s="7"/>
    </row>
    <row r="23" customFormat="false" ht="12.8" hidden="false" customHeight="false" outlineLevel="0" collapsed="false">
      <c r="A23" s="6" t="s">
        <v>15</v>
      </c>
      <c r="B23" s="6" t="s">
        <v>37</v>
      </c>
      <c r="C23" s="1" t="s">
        <v>16</v>
      </c>
      <c r="D23" s="1" t="s">
        <v>31</v>
      </c>
      <c r="E23" s="6" t="n">
        <v>5</v>
      </c>
      <c r="G23" s="1" t="n">
        <v>5</v>
      </c>
      <c r="H23" s="1" t="n">
        <v>11</v>
      </c>
      <c r="I23" s="1" t="n">
        <v>7</v>
      </c>
      <c r="J23" s="7" t="s">
        <v>32</v>
      </c>
    </row>
    <row r="24" customFormat="false" ht="12.8" hidden="false" customHeight="false" outlineLevel="0" collapsed="false">
      <c r="A24" s="6" t="s">
        <v>15</v>
      </c>
      <c r="B24" s="6" t="s">
        <v>37</v>
      </c>
      <c r="C24" s="1" t="s">
        <v>16</v>
      </c>
      <c r="D24" s="1" t="s">
        <v>34</v>
      </c>
      <c r="E24" s="6" t="n">
        <v>5</v>
      </c>
      <c r="F24" s="1" t="s">
        <v>38</v>
      </c>
      <c r="G24" s="1" t="n">
        <v>1</v>
      </c>
    </row>
    <row r="25" customFormat="false" ht="12.8" hidden="false" customHeight="false" outlineLevel="0" collapsed="false">
      <c r="A25" s="6" t="s">
        <v>15</v>
      </c>
      <c r="B25" s="6" t="s">
        <v>37</v>
      </c>
      <c r="C25" s="1" t="s">
        <v>16</v>
      </c>
      <c r="D25" s="1" t="s">
        <v>34</v>
      </c>
      <c r="E25" s="6" t="n">
        <v>5</v>
      </c>
      <c r="F25" s="1" t="s">
        <v>36</v>
      </c>
      <c r="G25" s="1" t="n">
        <v>1</v>
      </c>
    </row>
    <row r="26" customFormat="false" ht="15.9" hidden="false" customHeight="true" outlineLevel="0" collapsed="false">
      <c r="A26" s="6" t="s">
        <v>15</v>
      </c>
      <c r="B26" s="6" t="s">
        <v>37</v>
      </c>
      <c r="C26" s="1" t="s">
        <v>16</v>
      </c>
      <c r="D26" s="1" t="s">
        <v>34</v>
      </c>
      <c r="E26" s="6" t="n">
        <v>5</v>
      </c>
      <c r="F26" s="8" t="s">
        <v>39</v>
      </c>
      <c r="G26" s="1" t="n">
        <v>3</v>
      </c>
    </row>
    <row r="27" customFormat="false" ht="12.8" hidden="false" customHeight="false" outlineLevel="0" collapsed="false">
      <c r="A27" s="6"/>
      <c r="B27" s="6"/>
      <c r="D27" s="6"/>
      <c r="E27" s="6"/>
      <c r="F27" s="6"/>
      <c r="G27" s="6"/>
      <c r="H27" s="6"/>
      <c r="I27" s="6"/>
    </row>
    <row r="28" customFormat="false" ht="12.8" hidden="false" customHeight="false" outlineLevel="0" collapsed="false">
      <c r="A28" s="6"/>
      <c r="B28" s="6"/>
      <c r="D28" s="6"/>
      <c r="E28" s="6"/>
      <c r="F28" s="6"/>
      <c r="G28" s="6"/>
      <c r="H28" s="6"/>
      <c r="I28" s="6"/>
    </row>
    <row r="29" customFormat="false" ht="12.8" hidden="false" customHeight="false" outlineLevel="0" collapsed="false">
      <c r="A29" s="6"/>
      <c r="B29" s="6"/>
      <c r="E29" s="6"/>
    </row>
    <row r="30" customFormat="false" ht="12.8" hidden="false" customHeight="false" outlineLevel="0" collapsed="false">
      <c r="A30" s="6"/>
      <c r="B30" s="6"/>
      <c r="D30" s="8"/>
      <c r="E30" s="6"/>
    </row>
    <row r="31" customFormat="false" ht="12.8" hidden="false" customHeight="false" outlineLevel="0" collapsed="false">
      <c r="A31" s="6"/>
      <c r="B31" s="6"/>
      <c r="E31" s="6"/>
      <c r="J31" s="7"/>
    </row>
    <row r="32" customFormat="false" ht="12.8" hidden="false" customHeight="false" outlineLevel="0" collapsed="false">
      <c r="B32" s="6"/>
      <c r="E32" s="6"/>
      <c r="J32" s="7"/>
    </row>
    <row r="33" customFormat="false" ht="12.8" hidden="false" customHeight="false" outlineLevel="0" collapsed="false">
      <c r="C3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7" activeCellId="0" sqref="C7"/>
    </sheetView>
  </sheetViews>
  <sheetFormatPr defaultColWidth="11.77734375" defaultRowHeight="12.8" zeroHeight="false" outlineLevelRow="0" outlineLevelCol="0"/>
  <cols>
    <col collapsed="false" customWidth="true" hidden="false" outlineLevel="0" max="1" min="1" style="9" width="15.68"/>
    <col collapsed="false" customWidth="false" hidden="false" outlineLevel="0" max="2" min="2" style="9" width="11.76"/>
    <col collapsed="false" customWidth="true" hidden="false" outlineLevel="0" max="5" min="3" style="9" width="20.7"/>
    <col collapsed="false" customWidth="false" hidden="false" outlineLevel="0" max="7" min="6" style="9" width="11.76"/>
    <col collapsed="false" customWidth="true" hidden="false" outlineLevel="0" max="8" min="8" style="9" width="25.3"/>
    <col collapsed="false" customWidth="true" hidden="false" outlineLevel="0" max="10" min="9" style="9" width="17.78"/>
    <col collapsed="false" customWidth="true" hidden="false" outlineLevel="0" max="11" min="11" style="9" width="14.72"/>
    <col collapsed="false" customWidth="true" hidden="false" outlineLevel="0" max="12" min="12" style="9" width="44.65"/>
    <col collapsed="false" customWidth="false" hidden="false" outlineLevel="0" max="1024" min="13" style="9" width="11.76"/>
  </cols>
  <sheetData>
    <row r="1" customFormat="false" ht="12.8" hidden="false" customHeight="false" outlineLevel="0" collapsed="false">
      <c r="A1" s="10" t="s">
        <v>0</v>
      </c>
      <c r="B1" s="10" t="s">
        <v>40</v>
      </c>
      <c r="C1" s="10" t="s">
        <v>1</v>
      </c>
      <c r="D1" s="10" t="s">
        <v>41</v>
      </c>
      <c r="E1" s="10" t="s">
        <v>42</v>
      </c>
      <c r="F1" s="10" t="s">
        <v>43</v>
      </c>
      <c r="G1" s="10" t="s">
        <v>9</v>
      </c>
      <c r="H1" s="10" t="s">
        <v>44</v>
      </c>
      <c r="I1" s="10" t="s">
        <v>45</v>
      </c>
      <c r="J1" s="10" t="s">
        <v>46</v>
      </c>
      <c r="K1" s="10" t="s">
        <v>47</v>
      </c>
      <c r="L1" s="10" t="s">
        <v>10</v>
      </c>
    </row>
    <row r="2" customFormat="false" ht="12.8" hidden="false" customHeight="false" outlineLevel="0" collapsed="false">
      <c r="A2" s="11" t="s">
        <v>11</v>
      </c>
      <c r="B2" s="11" t="s">
        <v>40</v>
      </c>
      <c r="C2" s="11" t="s">
        <v>1</v>
      </c>
      <c r="D2" s="11" t="s">
        <v>41</v>
      </c>
      <c r="E2" s="11" t="s">
        <v>42</v>
      </c>
      <c r="F2" s="11" t="s">
        <v>43</v>
      </c>
      <c r="G2" s="11" t="s">
        <v>9</v>
      </c>
      <c r="H2" s="11" t="s">
        <v>44</v>
      </c>
      <c r="I2" s="12" t="s">
        <v>45</v>
      </c>
      <c r="J2" s="11" t="s">
        <v>46</v>
      </c>
      <c r="K2" s="11" t="s">
        <v>47</v>
      </c>
      <c r="L2" s="11" t="s">
        <v>14</v>
      </c>
    </row>
    <row r="3" customFormat="false" ht="23.85" hidden="false" customHeight="false" outlineLevel="0" collapsed="false">
      <c r="A3" s="9" t="s">
        <v>15</v>
      </c>
      <c r="B3" s="9" t="s">
        <v>48</v>
      </c>
      <c r="C3" s="9" t="s">
        <v>49</v>
      </c>
      <c r="D3" s="9" t="s">
        <v>50</v>
      </c>
      <c r="E3" s="13" t="s">
        <v>51</v>
      </c>
      <c r="F3" s="9" t="n">
        <v>500</v>
      </c>
      <c r="G3" s="9" t="s">
        <v>52</v>
      </c>
      <c r="H3" s="9" t="s">
        <v>53</v>
      </c>
      <c r="I3" s="9" t="s">
        <v>29</v>
      </c>
      <c r="J3" s="9" t="s">
        <v>54</v>
      </c>
      <c r="K3" s="9" t="s">
        <v>55</v>
      </c>
      <c r="L3" s="14" t="s">
        <v>56</v>
      </c>
    </row>
    <row r="4" customFormat="false" ht="12.8" hidden="false" customHeight="false" outlineLevel="0" collapsed="false">
      <c r="A4" s="9" t="s">
        <v>15</v>
      </c>
      <c r="B4" s="9" t="s">
        <v>48</v>
      </c>
      <c r="C4" s="9" t="s">
        <v>57</v>
      </c>
      <c r="D4" s="9" t="s">
        <v>50</v>
      </c>
      <c r="E4" s="13" t="s">
        <v>51</v>
      </c>
      <c r="F4" s="9" t="n">
        <v>750</v>
      </c>
      <c r="G4" s="9" t="s">
        <v>52</v>
      </c>
      <c r="H4" s="9" t="s">
        <v>58</v>
      </c>
      <c r="I4" s="9" t="s">
        <v>29</v>
      </c>
      <c r="J4" s="9" t="s">
        <v>54</v>
      </c>
      <c r="K4" s="9" t="s">
        <v>55</v>
      </c>
      <c r="L4" s="13"/>
    </row>
    <row r="5" customFormat="false" ht="12.8" hidden="false" customHeight="false" outlineLevel="0" collapsed="false">
      <c r="A5" s="9" t="s">
        <v>15</v>
      </c>
      <c r="B5" s="9" t="s">
        <v>48</v>
      </c>
      <c r="C5" s="9" t="s">
        <v>59</v>
      </c>
      <c r="D5" s="9" t="s">
        <v>50</v>
      </c>
      <c r="E5" s="13" t="s">
        <v>51</v>
      </c>
      <c r="F5" s="9" t="n">
        <v>750</v>
      </c>
      <c r="G5" s="9" t="s">
        <v>52</v>
      </c>
      <c r="H5" s="9" t="n">
        <v>0</v>
      </c>
      <c r="I5" s="9" t="s">
        <v>29</v>
      </c>
      <c r="J5" s="9" t="s">
        <v>54</v>
      </c>
      <c r="K5" s="9" t="s">
        <v>60</v>
      </c>
      <c r="L5" s="13"/>
    </row>
    <row r="6" customFormat="false" ht="12.8" hidden="false" customHeight="false" outlineLevel="0" collapsed="false">
      <c r="A6" s="9" t="s">
        <v>15</v>
      </c>
      <c r="B6" s="9" t="s">
        <v>61</v>
      </c>
      <c r="C6" s="9" t="s">
        <v>62</v>
      </c>
      <c r="D6" s="9" t="s">
        <v>50</v>
      </c>
      <c r="E6" s="9" t="s">
        <v>63</v>
      </c>
      <c r="F6" s="9" t="n">
        <v>40</v>
      </c>
      <c r="G6" s="9" t="s">
        <v>64</v>
      </c>
      <c r="H6" s="9" t="s">
        <v>65</v>
      </c>
      <c r="I6" s="9" t="s">
        <v>29</v>
      </c>
      <c r="J6" s="9" t="s">
        <v>54</v>
      </c>
      <c r="K6" s="9" t="s">
        <v>55</v>
      </c>
      <c r="L6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" activeCellId="0" sqref="D3"/>
    </sheetView>
  </sheetViews>
  <sheetFormatPr defaultColWidth="11.58984375" defaultRowHeight="12.8" zeroHeight="false" outlineLevelRow="0" outlineLevelCol="0"/>
  <cols>
    <col collapsed="false" customWidth="true" hidden="false" outlineLevel="0" max="4" min="4" style="0" width="21.56"/>
    <col collapsed="false" customWidth="true" hidden="false" outlineLevel="0" max="5" min="5" style="0" width="28.91"/>
    <col collapsed="false" customWidth="true" hidden="false" outlineLevel="0" max="6" min="6" style="0" width="18.47"/>
    <col collapsed="false" customWidth="true" hidden="false" outlineLevel="0" max="7" min="7" style="0" width="38.25"/>
    <col collapsed="false" customWidth="false" hidden="false" outlineLevel="0" max="9" min="9" style="16" width="11.57"/>
    <col collapsed="false" customWidth="false" hidden="false" outlineLevel="0" max="10" min="10" style="17" width="11.57"/>
    <col collapsed="false" customWidth="true" hidden="false" outlineLevel="0" max="12" min="12" style="0" width="15.36"/>
  </cols>
  <sheetData>
    <row r="1" customFormat="false" ht="12.8" hidden="false" customHeight="false" outlineLevel="0" collapsed="false">
      <c r="A1" s="18" t="s">
        <v>0</v>
      </c>
      <c r="B1" s="18" t="s">
        <v>66</v>
      </c>
      <c r="C1" s="18" t="s">
        <v>67</v>
      </c>
      <c r="D1" s="18" t="s">
        <v>68</v>
      </c>
      <c r="E1" s="18" t="s">
        <v>69</v>
      </c>
      <c r="F1" s="18" t="s">
        <v>41</v>
      </c>
      <c r="G1" s="18" t="s">
        <v>70</v>
      </c>
      <c r="H1" s="18" t="s">
        <v>71</v>
      </c>
      <c r="I1" s="19" t="s">
        <v>43</v>
      </c>
      <c r="J1" s="20" t="s">
        <v>44</v>
      </c>
      <c r="K1" s="19" t="s">
        <v>45</v>
      </c>
      <c r="L1" s="18" t="s">
        <v>72</v>
      </c>
      <c r="M1" s="18" t="s">
        <v>73</v>
      </c>
      <c r="N1" s="21" t="s">
        <v>10</v>
      </c>
    </row>
    <row r="2" customFormat="false" ht="12.8" hidden="false" customHeight="false" outlineLevel="0" collapsed="false">
      <c r="A2" s="22" t="s">
        <v>11</v>
      </c>
      <c r="B2" s="22" t="s">
        <v>66</v>
      </c>
      <c r="C2" s="22" t="s">
        <v>67</v>
      </c>
      <c r="D2" s="22" t="s">
        <v>68</v>
      </c>
      <c r="E2" s="22" t="s">
        <v>74</v>
      </c>
      <c r="F2" s="22" t="s">
        <v>41</v>
      </c>
      <c r="G2" s="22" t="s">
        <v>42</v>
      </c>
      <c r="H2" s="22" t="s">
        <v>75</v>
      </c>
      <c r="I2" s="23" t="s">
        <v>43</v>
      </c>
      <c r="J2" s="24" t="s">
        <v>44</v>
      </c>
      <c r="K2" s="23" t="s">
        <v>45</v>
      </c>
      <c r="L2" s="22" t="s">
        <v>9</v>
      </c>
      <c r="M2" s="22" t="s">
        <v>76</v>
      </c>
      <c r="N2" s="25" t="s">
        <v>14</v>
      </c>
    </row>
    <row r="3" customFormat="false" ht="13" hidden="false" customHeight="false" outlineLevel="0" collapsed="false">
      <c r="A3" s="6" t="s">
        <v>15</v>
      </c>
      <c r="B3" s="6" t="s">
        <v>77</v>
      </c>
      <c r="C3" s="6" t="s">
        <v>22</v>
      </c>
      <c r="D3" s="0" t="s">
        <v>78</v>
      </c>
      <c r="E3" s="6" t="str">
        <f aca="false">"Tab1_"&amp;B3&amp;"_"&amp;F3</f>
        <v>Tab1_Healthy_1_metabolic ratio</v>
      </c>
      <c r="F3" s="7" t="s">
        <v>79</v>
      </c>
      <c r="G3" s="26" t="s">
        <v>80</v>
      </c>
      <c r="H3" s="7" t="s">
        <v>81</v>
      </c>
      <c r="I3" s="27" t="n">
        <v>0.32126725</v>
      </c>
      <c r="J3" s="28" t="n">
        <v>0</v>
      </c>
      <c r="K3" s="29" t="s">
        <v>82</v>
      </c>
      <c r="L3" s="7" t="s">
        <v>83</v>
      </c>
      <c r="M3" s="8" t="s">
        <v>84</v>
      </c>
      <c r="N3" s="30"/>
    </row>
    <row r="4" customFormat="false" ht="13" hidden="false" customHeight="false" outlineLevel="0" collapsed="false">
      <c r="A4" s="6" t="s">
        <v>15</v>
      </c>
      <c r="B4" s="6" t="s">
        <v>77</v>
      </c>
      <c r="C4" s="6" t="s">
        <v>22</v>
      </c>
      <c r="D4" s="0" t="s">
        <v>78</v>
      </c>
      <c r="E4" s="6" t="str">
        <f aca="false">"Tab1_"&amp;B4&amp;"_"&amp;F4</f>
        <v>Tab1_Healthy_1_metabolic ratio</v>
      </c>
      <c r="F4" s="7" t="s">
        <v>79</v>
      </c>
      <c r="G4" s="26" t="s">
        <v>80</v>
      </c>
      <c r="H4" s="7" t="s">
        <v>81</v>
      </c>
      <c r="I4" s="27" t="n">
        <v>0.37164295</v>
      </c>
      <c r="J4" s="28" t="n">
        <v>1</v>
      </c>
      <c r="K4" s="29" t="s">
        <v>82</v>
      </c>
      <c r="L4" s="7" t="s">
        <v>83</v>
      </c>
      <c r="M4" s="8" t="s">
        <v>84</v>
      </c>
      <c r="N4" s="30"/>
    </row>
    <row r="5" customFormat="false" ht="13" hidden="false" customHeight="false" outlineLevel="0" collapsed="false">
      <c r="A5" s="6" t="s">
        <v>15</v>
      </c>
      <c r="B5" s="6" t="s">
        <v>77</v>
      </c>
      <c r="C5" s="6" t="s">
        <v>22</v>
      </c>
      <c r="D5" s="0" t="s">
        <v>78</v>
      </c>
      <c r="E5" s="6" t="str">
        <f aca="false">"Tab1_"&amp;B5&amp;"_"&amp;F5</f>
        <v>Tab1_Healthy_1_metabolic ratio</v>
      </c>
      <c r="F5" s="7" t="s">
        <v>79</v>
      </c>
      <c r="G5" s="26" t="s">
        <v>80</v>
      </c>
      <c r="H5" s="7" t="s">
        <v>81</v>
      </c>
      <c r="I5" s="27" t="n">
        <v>0.53113836</v>
      </c>
      <c r="J5" s="28" t="n">
        <v>2</v>
      </c>
      <c r="K5" s="29" t="s">
        <v>82</v>
      </c>
      <c r="L5" s="7" t="s">
        <v>83</v>
      </c>
      <c r="M5" s="8" t="s">
        <v>84</v>
      </c>
      <c r="N5" s="30"/>
    </row>
    <row r="6" customFormat="false" ht="13" hidden="false" customHeight="false" outlineLevel="0" collapsed="false">
      <c r="A6" s="6" t="s">
        <v>15</v>
      </c>
      <c r="B6" s="6" t="s">
        <v>77</v>
      </c>
      <c r="C6" s="6" t="s">
        <v>22</v>
      </c>
      <c r="D6" s="0" t="s">
        <v>78</v>
      </c>
      <c r="E6" s="6" t="str">
        <f aca="false">"Tab1_"&amp;B6&amp;"_"&amp;F6</f>
        <v>Tab1_Healthy_1_metabolic ratio</v>
      </c>
      <c r="F6" s="7" t="s">
        <v>79</v>
      </c>
      <c r="G6" s="26" t="s">
        <v>80</v>
      </c>
      <c r="H6" s="7" t="s">
        <v>81</v>
      </c>
      <c r="I6" s="27" t="n">
        <v>0.5289051</v>
      </c>
      <c r="J6" s="28" t="n">
        <v>3</v>
      </c>
      <c r="K6" s="29" t="s">
        <v>82</v>
      </c>
      <c r="L6" s="7" t="s">
        <v>83</v>
      </c>
      <c r="M6" s="8" t="s">
        <v>84</v>
      </c>
      <c r="N6" s="30"/>
    </row>
    <row r="7" customFormat="false" ht="13" hidden="false" customHeight="false" outlineLevel="0" collapsed="false">
      <c r="A7" s="6" t="s">
        <v>15</v>
      </c>
      <c r="B7" s="6" t="s">
        <v>77</v>
      </c>
      <c r="C7" s="6" t="s">
        <v>22</v>
      </c>
      <c r="D7" s="0" t="s">
        <v>78</v>
      </c>
      <c r="E7" s="6" t="str">
        <f aca="false">"Tab1_"&amp;B7&amp;"_"&amp;F7</f>
        <v>Tab1_Healthy_1_metabolic ratio</v>
      </c>
      <c r="F7" s="7" t="s">
        <v>79</v>
      </c>
      <c r="G7" s="26" t="s">
        <v>80</v>
      </c>
      <c r="H7" s="7" t="s">
        <v>81</v>
      </c>
      <c r="I7" s="27" t="n">
        <v>0.7090895</v>
      </c>
      <c r="J7" s="28" t="n">
        <v>4</v>
      </c>
      <c r="K7" s="29" t="s">
        <v>82</v>
      </c>
      <c r="L7" s="7" t="s">
        <v>83</v>
      </c>
      <c r="M7" s="8" t="s">
        <v>84</v>
      </c>
      <c r="N7" s="30"/>
    </row>
    <row r="8" customFormat="false" ht="13" hidden="false" customHeight="false" outlineLevel="0" collapsed="false">
      <c r="A8" s="6" t="s">
        <v>15</v>
      </c>
      <c r="B8" s="6" t="s">
        <v>85</v>
      </c>
      <c r="C8" s="6" t="s">
        <v>22</v>
      </c>
      <c r="D8" s="0" t="s">
        <v>78</v>
      </c>
      <c r="E8" s="6" t="str">
        <f aca="false">"Tab1_"&amp;B8&amp;"_"&amp;F8</f>
        <v>Tab1_Healthy_2_metabolic ratio</v>
      </c>
      <c r="F8" s="7" t="s">
        <v>79</v>
      </c>
      <c r="G8" s="26" t="s">
        <v>80</v>
      </c>
      <c r="H8" s="7" t="s">
        <v>81</v>
      </c>
      <c r="I8" s="27" t="n">
        <v>0.37015772</v>
      </c>
      <c r="J8" s="28" t="n">
        <v>0</v>
      </c>
      <c r="K8" s="29" t="s">
        <v>82</v>
      </c>
      <c r="L8" s="7" t="s">
        <v>83</v>
      </c>
      <c r="M8" s="8" t="s">
        <v>84</v>
      </c>
      <c r="N8" s="30"/>
    </row>
    <row r="9" customFormat="false" ht="13" hidden="false" customHeight="false" outlineLevel="0" collapsed="false">
      <c r="A9" s="6" t="s">
        <v>15</v>
      </c>
      <c r="B9" s="6" t="s">
        <v>85</v>
      </c>
      <c r="C9" s="6" t="s">
        <v>22</v>
      </c>
      <c r="D9" s="0" t="s">
        <v>78</v>
      </c>
      <c r="E9" s="6" t="str">
        <f aca="false">"Tab1_"&amp;B9&amp;"_"&amp;F9</f>
        <v>Tab1_Healthy_2_metabolic ratio</v>
      </c>
      <c r="F9" s="7" t="s">
        <v>79</v>
      </c>
      <c r="G9" s="26" t="s">
        <v>80</v>
      </c>
      <c r="H9" s="7" t="s">
        <v>81</v>
      </c>
      <c r="I9" s="27" t="n">
        <v>0.5522229</v>
      </c>
      <c r="J9" s="28" t="n">
        <v>1</v>
      </c>
      <c r="K9" s="29" t="s">
        <v>82</v>
      </c>
      <c r="L9" s="7" t="s">
        <v>83</v>
      </c>
      <c r="M9" s="8" t="s">
        <v>84</v>
      </c>
      <c r="N9" s="30"/>
    </row>
    <row r="10" customFormat="false" ht="13" hidden="false" customHeight="false" outlineLevel="0" collapsed="false">
      <c r="A10" s="6" t="s">
        <v>15</v>
      </c>
      <c r="B10" s="6" t="s">
        <v>85</v>
      </c>
      <c r="C10" s="6" t="s">
        <v>22</v>
      </c>
      <c r="D10" s="0" t="s">
        <v>78</v>
      </c>
      <c r="E10" s="6" t="str">
        <f aca="false">"Tab1_"&amp;B10&amp;"_"&amp;F10</f>
        <v>Tab1_Healthy_2_metabolic ratio</v>
      </c>
      <c r="F10" s="7" t="s">
        <v>79</v>
      </c>
      <c r="G10" s="26" t="s">
        <v>80</v>
      </c>
      <c r="H10" s="7" t="s">
        <v>81</v>
      </c>
      <c r="I10" s="27" t="n">
        <v>0.75872797</v>
      </c>
      <c r="J10" s="28" t="n">
        <v>2</v>
      </c>
      <c r="K10" s="29" t="s">
        <v>82</v>
      </c>
      <c r="L10" s="7" t="s">
        <v>83</v>
      </c>
      <c r="M10" s="8" t="s">
        <v>84</v>
      </c>
      <c r="N10" s="30"/>
    </row>
    <row r="11" customFormat="false" ht="13" hidden="false" customHeight="false" outlineLevel="0" collapsed="false">
      <c r="A11" s="6" t="s">
        <v>15</v>
      </c>
      <c r="B11" s="6" t="s">
        <v>85</v>
      </c>
      <c r="C11" s="6" t="s">
        <v>22</v>
      </c>
      <c r="D11" s="0" t="s">
        <v>78</v>
      </c>
      <c r="E11" s="6" t="str">
        <f aca="false">"Tab1_"&amp;B11&amp;"_"&amp;F11</f>
        <v>Tab1_Healthy_2_metabolic ratio</v>
      </c>
      <c r="F11" s="7" t="s">
        <v>79</v>
      </c>
      <c r="G11" s="26" t="s">
        <v>80</v>
      </c>
      <c r="H11" s="7" t="s">
        <v>81</v>
      </c>
      <c r="I11" s="27" t="n">
        <v>1.0404766</v>
      </c>
      <c r="J11" s="28" t="n">
        <v>3</v>
      </c>
      <c r="K11" s="29" t="s">
        <v>82</v>
      </c>
      <c r="L11" s="7" t="s">
        <v>83</v>
      </c>
      <c r="M11" s="8" t="s">
        <v>84</v>
      </c>
      <c r="N11" s="30"/>
    </row>
    <row r="12" customFormat="false" ht="13" hidden="false" customHeight="false" outlineLevel="0" collapsed="false">
      <c r="A12" s="6" t="s">
        <v>15</v>
      </c>
      <c r="B12" s="6" t="s">
        <v>85</v>
      </c>
      <c r="C12" s="6" t="s">
        <v>22</v>
      </c>
      <c r="D12" s="0" t="s">
        <v>78</v>
      </c>
      <c r="E12" s="6" t="str">
        <f aca="false">"Tab1_"&amp;B12&amp;"_"&amp;F12</f>
        <v>Tab1_Healthy_2_metabolic ratio</v>
      </c>
      <c r="F12" s="7" t="s">
        <v>79</v>
      </c>
      <c r="G12" s="26" t="s">
        <v>80</v>
      </c>
      <c r="H12" s="7" t="s">
        <v>81</v>
      </c>
      <c r="I12" s="27" t="n">
        <v>1.9542443</v>
      </c>
      <c r="J12" s="28" t="n">
        <v>4</v>
      </c>
      <c r="K12" s="29" t="s">
        <v>82</v>
      </c>
      <c r="L12" s="7" t="s">
        <v>83</v>
      </c>
      <c r="M12" s="8" t="s">
        <v>84</v>
      </c>
      <c r="N12" s="30"/>
    </row>
    <row r="13" customFormat="false" ht="13" hidden="false" customHeight="false" outlineLevel="0" collapsed="false">
      <c r="A13" s="6" t="s">
        <v>15</v>
      </c>
      <c r="B13" s="6" t="s">
        <v>86</v>
      </c>
      <c r="C13" s="6" t="s">
        <v>22</v>
      </c>
      <c r="D13" s="0" t="s">
        <v>78</v>
      </c>
      <c r="E13" s="6" t="str">
        <f aca="false">"Tab1_"&amp;B13&amp;"_"&amp;F13</f>
        <v>Tab1_Healthy_3_metabolic ratio</v>
      </c>
      <c r="F13" s="7" t="s">
        <v>79</v>
      </c>
      <c r="G13" s="26" t="s">
        <v>80</v>
      </c>
      <c r="H13" s="7" t="s">
        <v>81</v>
      </c>
      <c r="I13" s="27" t="n">
        <v>0.51275456</v>
      </c>
      <c r="J13" s="28" t="n">
        <v>0</v>
      </c>
      <c r="K13" s="29" t="s">
        <v>82</v>
      </c>
      <c r="L13" s="7" t="s">
        <v>83</v>
      </c>
      <c r="M13" s="8" t="s">
        <v>84</v>
      </c>
      <c r="N13" s="30"/>
    </row>
    <row r="14" customFormat="false" ht="13" hidden="false" customHeight="false" outlineLevel="0" collapsed="false">
      <c r="A14" s="6" t="s">
        <v>15</v>
      </c>
      <c r="B14" s="6" t="s">
        <v>86</v>
      </c>
      <c r="C14" s="6" t="s">
        <v>22</v>
      </c>
      <c r="D14" s="0" t="s">
        <v>78</v>
      </c>
      <c r="E14" s="6" t="str">
        <f aca="false">"Tab1_"&amp;B14&amp;"_"&amp;F14</f>
        <v>Tab1_Healthy_3_metabolic ratio</v>
      </c>
      <c r="F14" s="7" t="s">
        <v>79</v>
      </c>
      <c r="G14" s="26" t="s">
        <v>80</v>
      </c>
      <c r="H14" s="7" t="s">
        <v>81</v>
      </c>
      <c r="I14" s="27" t="n">
        <v>0.8020695</v>
      </c>
      <c r="J14" s="28" t="n">
        <v>1</v>
      </c>
      <c r="K14" s="29" t="s">
        <v>82</v>
      </c>
      <c r="L14" s="7" t="s">
        <v>83</v>
      </c>
      <c r="M14" s="8" t="s">
        <v>84</v>
      </c>
      <c r="N14" s="30"/>
    </row>
    <row r="15" customFormat="false" ht="13" hidden="false" customHeight="false" outlineLevel="0" collapsed="false">
      <c r="A15" s="6" t="s">
        <v>15</v>
      </c>
      <c r="B15" s="6" t="s">
        <v>86</v>
      </c>
      <c r="C15" s="6" t="s">
        <v>22</v>
      </c>
      <c r="D15" s="0" t="s">
        <v>78</v>
      </c>
      <c r="E15" s="6" t="str">
        <f aca="false">"Tab1_"&amp;B15&amp;"_"&amp;F15</f>
        <v>Tab1_Healthy_3_metabolic ratio</v>
      </c>
      <c r="F15" s="7" t="s">
        <v>79</v>
      </c>
      <c r="G15" s="26" t="s">
        <v>80</v>
      </c>
      <c r="H15" s="7" t="s">
        <v>81</v>
      </c>
      <c r="I15" s="27" t="n">
        <v>0.61391586</v>
      </c>
      <c r="J15" s="28" t="n">
        <v>2</v>
      </c>
      <c r="K15" s="29" t="s">
        <v>82</v>
      </c>
      <c r="L15" s="7" t="s">
        <v>83</v>
      </c>
      <c r="M15" s="8" t="s">
        <v>84</v>
      </c>
      <c r="N15" s="30"/>
    </row>
    <row r="16" customFormat="false" ht="13" hidden="false" customHeight="false" outlineLevel="0" collapsed="false">
      <c r="A16" s="6" t="s">
        <v>15</v>
      </c>
      <c r="B16" s="6" t="s">
        <v>86</v>
      </c>
      <c r="C16" s="6" t="s">
        <v>22</v>
      </c>
      <c r="D16" s="0" t="s">
        <v>78</v>
      </c>
      <c r="E16" s="6" t="str">
        <f aca="false">"Tab1_"&amp;B16&amp;"_"&amp;F16</f>
        <v>Tab1_Healthy_3_metabolic ratio</v>
      </c>
      <c r="F16" s="7" t="s">
        <v>79</v>
      </c>
      <c r="G16" s="26" t="s">
        <v>80</v>
      </c>
      <c r="H16" s="7" t="s">
        <v>81</v>
      </c>
      <c r="I16" s="27" t="n">
        <v>1.1905966</v>
      </c>
      <c r="J16" s="28" t="n">
        <v>3</v>
      </c>
      <c r="K16" s="29" t="s">
        <v>82</v>
      </c>
      <c r="L16" s="7" t="s">
        <v>83</v>
      </c>
      <c r="M16" s="8" t="s">
        <v>84</v>
      </c>
      <c r="N16" s="30"/>
    </row>
    <row r="17" customFormat="false" ht="13" hidden="false" customHeight="false" outlineLevel="0" collapsed="false">
      <c r="A17" s="6" t="s">
        <v>15</v>
      </c>
      <c r="B17" s="6" t="s">
        <v>86</v>
      </c>
      <c r="C17" s="6" t="s">
        <v>22</v>
      </c>
      <c r="D17" s="0" t="s">
        <v>78</v>
      </c>
      <c r="E17" s="6" t="str">
        <f aca="false">"Tab1_"&amp;B17&amp;"_"&amp;F17</f>
        <v>Tab1_Healthy_3_metabolic ratio</v>
      </c>
      <c r="F17" s="7" t="s">
        <v>79</v>
      </c>
      <c r="G17" s="26" t="s">
        <v>80</v>
      </c>
      <c r="H17" s="7" t="s">
        <v>81</v>
      </c>
      <c r="I17" s="27" t="n">
        <v>2.4695666</v>
      </c>
      <c r="J17" s="28" t="n">
        <v>4</v>
      </c>
      <c r="K17" s="29" t="s">
        <v>82</v>
      </c>
      <c r="L17" s="7" t="s">
        <v>83</v>
      </c>
      <c r="M17" s="8" t="s">
        <v>84</v>
      </c>
      <c r="N17" s="30"/>
    </row>
    <row r="18" customFormat="false" ht="13" hidden="false" customHeight="false" outlineLevel="0" collapsed="false">
      <c r="A18" s="6" t="s">
        <v>15</v>
      </c>
      <c r="B18" s="6" t="s">
        <v>87</v>
      </c>
      <c r="C18" s="6" t="s">
        <v>22</v>
      </c>
      <c r="D18" s="0" t="s">
        <v>78</v>
      </c>
      <c r="E18" s="6" t="str">
        <f aca="false">"Tab1_"&amp;B18&amp;"_"&amp;F18</f>
        <v>Tab1_Healthy_4_metabolic ratio</v>
      </c>
      <c r="F18" s="7" t="s">
        <v>79</v>
      </c>
      <c r="G18" s="26" t="s">
        <v>80</v>
      </c>
      <c r="H18" s="7" t="s">
        <v>81</v>
      </c>
      <c r="I18" s="27" t="n">
        <v>0.52249306</v>
      </c>
      <c r="J18" s="28" t="n">
        <v>0</v>
      </c>
      <c r="K18" s="29" t="s">
        <v>82</v>
      </c>
      <c r="L18" s="7" t="s">
        <v>83</v>
      </c>
      <c r="M18" s="8" t="s">
        <v>84</v>
      </c>
      <c r="N18" s="30"/>
    </row>
    <row r="19" customFormat="false" ht="13" hidden="false" customHeight="false" outlineLevel="0" collapsed="false">
      <c r="A19" s="6" t="s">
        <v>15</v>
      </c>
      <c r="B19" s="6" t="s">
        <v>87</v>
      </c>
      <c r="C19" s="6" t="s">
        <v>22</v>
      </c>
      <c r="D19" s="0" t="s">
        <v>78</v>
      </c>
      <c r="E19" s="6" t="str">
        <f aca="false">"Tab1_"&amp;B19&amp;"_"&amp;F19</f>
        <v>Tab1_Healthy_4_metabolic ratio</v>
      </c>
      <c r="F19" s="7" t="s">
        <v>79</v>
      </c>
      <c r="G19" s="26" t="s">
        <v>80</v>
      </c>
      <c r="H19" s="7" t="s">
        <v>81</v>
      </c>
      <c r="I19" s="27" t="n">
        <v>0.79483753</v>
      </c>
      <c r="J19" s="28" t="n">
        <v>1</v>
      </c>
      <c r="K19" s="29" t="s">
        <v>82</v>
      </c>
      <c r="L19" s="7" t="s">
        <v>83</v>
      </c>
      <c r="M19" s="8" t="s">
        <v>84</v>
      </c>
      <c r="N19" s="30"/>
    </row>
    <row r="20" customFormat="false" ht="13" hidden="false" customHeight="false" outlineLevel="0" collapsed="false">
      <c r="A20" s="6" t="s">
        <v>15</v>
      </c>
      <c r="B20" s="6" t="s">
        <v>87</v>
      </c>
      <c r="C20" s="6" t="s">
        <v>22</v>
      </c>
      <c r="D20" s="0" t="s">
        <v>78</v>
      </c>
      <c r="E20" s="6" t="str">
        <f aca="false">"Tab1_"&amp;B20&amp;"_"&amp;F20</f>
        <v>Tab1_Healthy_4_metabolic ratio</v>
      </c>
      <c r="F20" s="7" t="s">
        <v>79</v>
      </c>
      <c r="G20" s="26" t="s">
        <v>80</v>
      </c>
      <c r="H20" s="7" t="s">
        <v>81</v>
      </c>
      <c r="I20" s="27" t="n">
        <v>1.3041757</v>
      </c>
      <c r="J20" s="28" t="n">
        <v>2</v>
      </c>
      <c r="K20" s="29" t="s">
        <v>82</v>
      </c>
      <c r="L20" s="7" t="s">
        <v>83</v>
      </c>
      <c r="M20" s="8" t="s">
        <v>84</v>
      </c>
      <c r="N20" s="30"/>
    </row>
    <row r="21" customFormat="false" ht="13" hidden="false" customHeight="false" outlineLevel="0" collapsed="false">
      <c r="A21" s="6" t="s">
        <v>15</v>
      </c>
      <c r="B21" s="6" t="s">
        <v>87</v>
      </c>
      <c r="C21" s="6" t="s">
        <v>22</v>
      </c>
      <c r="D21" s="0" t="s">
        <v>78</v>
      </c>
      <c r="E21" s="6" t="str">
        <f aca="false">"Tab1_"&amp;B21&amp;"_"&amp;F21</f>
        <v>Tab1_Healthy_4_metabolic ratio</v>
      </c>
      <c r="F21" s="7" t="s">
        <v>79</v>
      </c>
      <c r="G21" s="26" t="s">
        <v>80</v>
      </c>
      <c r="H21" s="7" t="s">
        <v>81</v>
      </c>
      <c r="I21" s="29" t="n">
        <v>1.2379947</v>
      </c>
      <c r="J21" s="28" t="n">
        <v>3</v>
      </c>
      <c r="K21" s="29" t="s">
        <v>82</v>
      </c>
      <c r="L21" s="7" t="s">
        <v>83</v>
      </c>
      <c r="M21" s="8" t="s">
        <v>84</v>
      </c>
      <c r="N21" s="30"/>
    </row>
    <row r="22" customFormat="false" ht="13" hidden="false" customHeight="false" outlineLevel="0" collapsed="false">
      <c r="A22" s="6" t="s">
        <v>15</v>
      </c>
      <c r="B22" s="6" t="s">
        <v>87</v>
      </c>
      <c r="C22" s="6" t="s">
        <v>22</v>
      </c>
      <c r="D22" s="0" t="s">
        <v>78</v>
      </c>
      <c r="E22" s="6" t="str">
        <f aca="false">"Tab1_"&amp;B22&amp;"_"&amp;F22</f>
        <v>Tab1_Healthy_4_metabolic ratio</v>
      </c>
      <c r="F22" s="7" t="s">
        <v>79</v>
      </c>
      <c r="G22" s="26" t="s">
        <v>80</v>
      </c>
      <c r="H22" s="7" t="s">
        <v>81</v>
      </c>
      <c r="I22" s="29" t="n">
        <v>2.040751</v>
      </c>
      <c r="J22" s="28" t="n">
        <v>4</v>
      </c>
      <c r="K22" s="29" t="s">
        <v>82</v>
      </c>
      <c r="L22" s="7" t="s">
        <v>83</v>
      </c>
      <c r="M22" s="8" t="s">
        <v>84</v>
      </c>
      <c r="N22" s="30"/>
    </row>
    <row r="23" customFormat="false" ht="13" hidden="false" customHeight="false" outlineLevel="0" collapsed="false">
      <c r="A23" s="6" t="s">
        <v>15</v>
      </c>
      <c r="B23" s="6" t="s">
        <v>88</v>
      </c>
      <c r="C23" s="6" t="s">
        <v>22</v>
      </c>
      <c r="D23" s="0" t="s">
        <v>78</v>
      </c>
      <c r="E23" s="6" t="str">
        <f aca="false">"Tab1_"&amp;B23&amp;"_"&amp;F23</f>
        <v>Tab1_Healthy_5_metabolic ratio</v>
      </c>
      <c r="F23" s="7" t="s">
        <v>79</v>
      </c>
      <c r="G23" s="26" t="s">
        <v>80</v>
      </c>
      <c r="H23" s="7" t="s">
        <v>81</v>
      </c>
      <c r="I23" s="29" t="n">
        <v>0.64288694</v>
      </c>
      <c r="J23" s="28" t="n">
        <v>0</v>
      </c>
      <c r="K23" s="29" t="s">
        <v>82</v>
      </c>
      <c r="L23" s="7" t="s">
        <v>83</v>
      </c>
      <c r="M23" s="8" t="s">
        <v>84</v>
      </c>
      <c r="N23" s="30"/>
    </row>
    <row r="24" customFormat="false" ht="13" hidden="false" customHeight="false" outlineLevel="0" collapsed="false">
      <c r="A24" s="6" t="s">
        <v>15</v>
      </c>
      <c r="B24" s="6" t="s">
        <v>88</v>
      </c>
      <c r="C24" s="6" t="s">
        <v>22</v>
      </c>
      <c r="D24" s="0" t="s">
        <v>78</v>
      </c>
      <c r="E24" s="6" t="str">
        <f aca="false">"Tab1_"&amp;B24&amp;"_"&amp;F24</f>
        <v>Tab1_Healthy_5_metabolic ratio</v>
      </c>
      <c r="F24" s="7" t="s">
        <v>79</v>
      </c>
      <c r="G24" s="26" t="s">
        <v>80</v>
      </c>
      <c r="H24" s="7" t="s">
        <v>81</v>
      </c>
      <c r="I24" s="29" t="n">
        <v>0.6049074</v>
      </c>
      <c r="J24" s="28" t="n">
        <v>1</v>
      </c>
      <c r="K24" s="29" t="s">
        <v>82</v>
      </c>
      <c r="L24" s="7" t="s">
        <v>83</v>
      </c>
      <c r="M24" s="8" t="s">
        <v>84</v>
      </c>
      <c r="N24" s="30"/>
    </row>
    <row r="25" customFormat="false" ht="13" hidden="false" customHeight="false" outlineLevel="0" collapsed="false">
      <c r="A25" s="6" t="s">
        <v>15</v>
      </c>
      <c r="B25" s="6" t="s">
        <v>88</v>
      </c>
      <c r="C25" s="6" t="s">
        <v>22</v>
      </c>
      <c r="D25" s="0" t="s">
        <v>78</v>
      </c>
      <c r="E25" s="6" t="str">
        <f aca="false">"Tab1_"&amp;B25&amp;"_"&amp;F25</f>
        <v>Tab1_Healthy_5_metabolic ratio</v>
      </c>
      <c r="F25" s="7" t="s">
        <v>79</v>
      </c>
      <c r="G25" s="26" t="s">
        <v>80</v>
      </c>
      <c r="H25" s="7" t="s">
        <v>81</v>
      </c>
      <c r="I25" s="27" t="n">
        <v>0.4690822</v>
      </c>
      <c r="J25" s="28" t="n">
        <v>2</v>
      </c>
      <c r="K25" s="29" t="s">
        <v>82</v>
      </c>
      <c r="L25" s="7" t="s">
        <v>83</v>
      </c>
      <c r="M25" s="8" t="s">
        <v>84</v>
      </c>
      <c r="N25" s="30"/>
    </row>
    <row r="26" customFormat="false" ht="13" hidden="false" customHeight="false" outlineLevel="0" collapsed="false">
      <c r="A26" s="6" t="s">
        <v>15</v>
      </c>
      <c r="B26" s="6" t="s">
        <v>88</v>
      </c>
      <c r="C26" s="6" t="s">
        <v>22</v>
      </c>
      <c r="D26" s="0" t="s">
        <v>78</v>
      </c>
      <c r="E26" s="6" t="str">
        <f aca="false">"Tab1_"&amp;B26&amp;"_"&amp;F26</f>
        <v>Tab1_Healthy_5_metabolic ratio</v>
      </c>
      <c r="F26" s="7" t="s">
        <v>79</v>
      </c>
      <c r="G26" s="26" t="s">
        <v>80</v>
      </c>
      <c r="H26" s="7" t="s">
        <v>81</v>
      </c>
      <c r="I26" s="27" t="n">
        <v>0.67747885</v>
      </c>
      <c r="J26" s="28" t="n">
        <v>3</v>
      </c>
      <c r="K26" s="29" t="s">
        <v>82</v>
      </c>
      <c r="L26" s="7" t="s">
        <v>83</v>
      </c>
      <c r="M26" s="8" t="s">
        <v>84</v>
      </c>
      <c r="N26" s="30"/>
    </row>
    <row r="27" customFormat="false" ht="13" hidden="false" customHeight="false" outlineLevel="0" collapsed="false">
      <c r="A27" s="6" t="s">
        <v>15</v>
      </c>
      <c r="B27" s="6" t="s">
        <v>88</v>
      </c>
      <c r="C27" s="6" t="s">
        <v>22</v>
      </c>
      <c r="D27" s="0" t="s">
        <v>78</v>
      </c>
      <c r="E27" s="6" t="str">
        <f aca="false">"Tab1_"&amp;B27&amp;"_"&amp;F27</f>
        <v>Tab1_Healthy_5_metabolic ratio</v>
      </c>
      <c r="F27" s="7" t="s">
        <v>79</v>
      </c>
      <c r="G27" s="26" t="s">
        <v>80</v>
      </c>
      <c r="H27" s="7" t="s">
        <v>81</v>
      </c>
      <c r="I27" s="27" t="n">
        <v>0.7786798</v>
      </c>
      <c r="J27" s="28" t="n">
        <v>4</v>
      </c>
      <c r="K27" s="29" t="s">
        <v>82</v>
      </c>
      <c r="L27" s="7" t="s">
        <v>83</v>
      </c>
      <c r="M27" s="8" t="s">
        <v>84</v>
      </c>
      <c r="N27" s="30"/>
    </row>
    <row r="28" customFormat="false" ht="12.8" hidden="false" customHeight="false" outlineLevel="0" collapsed="false">
      <c r="A28" s="6"/>
      <c r="B28" s="6"/>
      <c r="C28" s="6"/>
      <c r="E28" s="6"/>
      <c r="F28" s="7"/>
      <c r="G28" s="26"/>
      <c r="H28" s="7"/>
      <c r="I28" s="27"/>
      <c r="J28" s="28"/>
      <c r="K28" s="29"/>
      <c r="L28" s="7"/>
      <c r="M28" s="8"/>
      <c r="N28" s="30"/>
    </row>
    <row r="29" customFormat="false" ht="12.8" hidden="false" customHeight="false" outlineLevel="0" collapsed="false">
      <c r="A29" s="6"/>
      <c r="B29" s="6"/>
      <c r="C29" s="6"/>
      <c r="E29" s="6"/>
      <c r="F29" s="7"/>
      <c r="G29" s="26"/>
      <c r="H29" s="7"/>
      <c r="I29" s="27"/>
      <c r="J29" s="28"/>
      <c r="K29" s="29"/>
      <c r="L29" s="7"/>
      <c r="M29" s="8"/>
      <c r="N29" s="30"/>
    </row>
    <row r="30" customFormat="false" ht="12.8" hidden="false" customHeight="false" outlineLevel="0" collapsed="false">
      <c r="A30" s="6"/>
      <c r="B30" s="6"/>
      <c r="C30" s="6"/>
      <c r="E30" s="6"/>
      <c r="F30" s="7"/>
      <c r="G30" s="26"/>
      <c r="H30" s="7"/>
      <c r="I30" s="27"/>
      <c r="J30" s="28"/>
      <c r="K30" s="29"/>
      <c r="L30" s="7"/>
      <c r="M30" s="8"/>
      <c r="N30" s="30"/>
    </row>
    <row r="31" customFormat="false" ht="12.8" hidden="false" customHeight="false" outlineLevel="0" collapsed="false">
      <c r="A31" s="6"/>
      <c r="B31" s="6"/>
      <c r="C31" s="6"/>
      <c r="E31" s="6"/>
      <c r="F31" s="7"/>
      <c r="G31" s="26"/>
      <c r="H31" s="7"/>
      <c r="I31" s="27"/>
      <c r="J31" s="28"/>
      <c r="K31" s="29"/>
      <c r="L31" s="7"/>
      <c r="M31" s="8"/>
      <c r="N31" s="30"/>
    </row>
    <row r="32" customFormat="false" ht="12.8" hidden="false" customHeight="false" outlineLevel="0" collapsed="false">
      <c r="A32" s="6"/>
      <c r="B32" s="6"/>
      <c r="C32" s="6"/>
      <c r="E32" s="6"/>
      <c r="F32" s="7"/>
      <c r="G32" s="26"/>
      <c r="H32" s="7"/>
      <c r="I32" s="27"/>
      <c r="J32" s="28"/>
      <c r="K32" s="29"/>
      <c r="L32" s="7"/>
      <c r="M32" s="8"/>
      <c r="N32" s="30"/>
    </row>
    <row r="33" customFormat="false" ht="12.8" hidden="false" customHeight="false" outlineLevel="0" collapsed="false">
      <c r="A33" s="6"/>
      <c r="B33" s="6"/>
      <c r="C33" s="6"/>
      <c r="E33" s="6"/>
      <c r="F33" s="7"/>
      <c r="G33" s="26"/>
      <c r="H33" s="7"/>
      <c r="I33" s="27"/>
      <c r="J33" s="28"/>
      <c r="K33" s="29"/>
      <c r="L33" s="7"/>
      <c r="M33" s="8"/>
      <c r="N33" s="30"/>
    </row>
    <row r="34" customFormat="false" ht="12.8" hidden="false" customHeight="false" outlineLevel="0" collapsed="false">
      <c r="A34" s="6"/>
      <c r="B34" s="6"/>
      <c r="C34" s="6"/>
      <c r="E34" s="6"/>
      <c r="F34" s="7"/>
      <c r="G34" s="26"/>
      <c r="H34" s="7"/>
      <c r="I34" s="27"/>
      <c r="J34" s="28"/>
      <c r="K34" s="29"/>
      <c r="L34" s="7"/>
      <c r="M34" s="8"/>
      <c r="N34" s="30"/>
    </row>
    <row r="35" customFormat="false" ht="12.8" hidden="false" customHeight="false" outlineLevel="0" collapsed="false">
      <c r="A35" s="6"/>
      <c r="B35" s="6"/>
      <c r="C35" s="6"/>
      <c r="E35" s="6"/>
      <c r="F35" s="7"/>
      <c r="G35" s="26"/>
      <c r="H35" s="7"/>
      <c r="I35" s="27"/>
      <c r="J35" s="28"/>
      <c r="K35" s="29"/>
      <c r="L35" s="7"/>
      <c r="M35" s="8"/>
      <c r="N35" s="30"/>
    </row>
    <row r="36" customFormat="false" ht="12.8" hidden="false" customHeight="false" outlineLevel="0" collapsed="false">
      <c r="A36" s="6"/>
      <c r="B36" s="6"/>
      <c r="C36" s="6"/>
      <c r="E36" s="6"/>
      <c r="F36" s="7"/>
      <c r="G36" s="26"/>
      <c r="H36" s="7"/>
      <c r="I36" s="27"/>
      <c r="J36" s="28"/>
      <c r="K36" s="29"/>
      <c r="L36" s="7"/>
      <c r="M36" s="8"/>
      <c r="N36" s="30"/>
    </row>
    <row r="37" customFormat="false" ht="12.8" hidden="false" customHeight="false" outlineLevel="0" collapsed="false">
      <c r="A37" s="6"/>
      <c r="B37" s="6"/>
      <c r="C37" s="6"/>
      <c r="G37" s="26"/>
    </row>
    <row r="38" customFormat="false" ht="12.8" hidden="false" customHeight="false" outlineLevel="0" collapsed="false">
      <c r="A38" s="6"/>
      <c r="B38" s="6"/>
      <c r="C38" s="6"/>
      <c r="G38" s="2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3" activeCellId="0" sqref="A23"/>
    </sheetView>
  </sheetViews>
  <sheetFormatPr defaultColWidth="11.5703125" defaultRowHeight="12.8" zeroHeight="false" outlineLevelRow="0" outlineLevelCol="0"/>
  <cols>
    <col collapsed="false" customWidth="true" hidden="false" outlineLevel="0" max="5" min="5" style="0" width="36.31"/>
    <col collapsed="false" customWidth="true" hidden="false" outlineLevel="0" max="6" min="6" style="0" width="18.71"/>
    <col collapsed="false" customWidth="true" hidden="false" outlineLevel="0" max="7" min="7" style="0" width="44.35"/>
    <col collapsed="false" customWidth="false" hidden="false" outlineLevel="0" max="9" min="9" style="27" width="11.54"/>
    <col collapsed="false" customWidth="false" hidden="false" outlineLevel="0" max="10" min="10" style="1" width="11.54"/>
  </cols>
  <sheetData>
    <row r="1" customFormat="false" ht="12.8" hidden="false" customHeight="false" outlineLevel="0" collapsed="false">
      <c r="A1" s="18" t="s">
        <v>0</v>
      </c>
      <c r="B1" s="18" t="s">
        <v>66</v>
      </c>
      <c r="C1" s="18" t="s">
        <v>67</v>
      </c>
      <c r="D1" s="18" t="s">
        <v>68</v>
      </c>
      <c r="E1" s="18" t="s">
        <v>69</v>
      </c>
      <c r="F1" s="18" t="s">
        <v>41</v>
      </c>
      <c r="G1" s="18" t="s">
        <v>70</v>
      </c>
      <c r="H1" s="18" t="s">
        <v>71</v>
      </c>
      <c r="I1" s="19" t="s">
        <v>43</v>
      </c>
      <c r="J1" s="31" t="s">
        <v>44</v>
      </c>
      <c r="K1" s="19" t="s">
        <v>45</v>
      </c>
      <c r="L1" s="18" t="s">
        <v>72</v>
      </c>
      <c r="M1" s="18" t="s">
        <v>73</v>
      </c>
      <c r="N1" s="21" t="s">
        <v>10</v>
      </c>
    </row>
    <row r="2" customFormat="false" ht="12.8" hidden="false" customHeight="false" outlineLevel="0" collapsed="false">
      <c r="A2" s="22" t="s">
        <v>11</v>
      </c>
      <c r="B2" s="22" t="s">
        <v>66</v>
      </c>
      <c r="C2" s="22" t="s">
        <v>67</v>
      </c>
      <c r="D2" s="22" t="s">
        <v>68</v>
      </c>
      <c r="E2" s="22" t="s">
        <v>74</v>
      </c>
      <c r="F2" s="22" t="s">
        <v>41</v>
      </c>
      <c r="G2" s="22" t="s">
        <v>42</v>
      </c>
      <c r="H2" s="22" t="s">
        <v>75</v>
      </c>
      <c r="I2" s="23" t="s">
        <v>43</v>
      </c>
      <c r="J2" s="32" t="s">
        <v>44</v>
      </c>
      <c r="K2" s="23" t="s">
        <v>45</v>
      </c>
      <c r="L2" s="22" t="s">
        <v>9</v>
      </c>
      <c r="M2" s="22" t="s">
        <v>76</v>
      </c>
      <c r="N2" s="25" t="s">
        <v>14</v>
      </c>
    </row>
    <row r="3" customFormat="false" ht="13" hidden="false" customHeight="false" outlineLevel="0" collapsed="false">
      <c r="A3" s="6" t="s">
        <v>15</v>
      </c>
      <c r="B3" s="0" t="s">
        <v>89</v>
      </c>
      <c r="C3" s="6" t="s">
        <v>30</v>
      </c>
      <c r="D3" s="0" t="s">
        <v>57</v>
      </c>
      <c r="E3" s="6" t="str">
        <f aca="false">"Fig3_"&amp;B3</f>
        <v>Fig3_Alcoholic_1</v>
      </c>
      <c r="F3" s="7" t="s">
        <v>79</v>
      </c>
      <c r="G3" s="26" t="s">
        <v>80</v>
      </c>
      <c r="H3" s="7" t="s">
        <v>81</v>
      </c>
      <c r="I3" s="27" t="n">
        <v>0.6283392</v>
      </c>
      <c r="J3" s="33" t="n">
        <v>1</v>
      </c>
      <c r="K3" s="29" t="s">
        <v>90</v>
      </c>
      <c r="L3" s="7" t="s">
        <v>83</v>
      </c>
      <c r="M3" s="8" t="s">
        <v>84</v>
      </c>
      <c r="N3" s="30"/>
    </row>
    <row r="4" customFormat="false" ht="13" hidden="false" customHeight="false" outlineLevel="0" collapsed="false">
      <c r="A4" s="6" t="s">
        <v>15</v>
      </c>
      <c r="B4" s="0" t="s">
        <v>89</v>
      </c>
      <c r="C4" s="6" t="s">
        <v>30</v>
      </c>
      <c r="D4" s="0" t="s">
        <v>57</v>
      </c>
      <c r="E4" s="6" t="str">
        <f aca="false">"Fig3_"&amp;B4</f>
        <v>Fig3_Alcoholic_1</v>
      </c>
      <c r="F4" s="7" t="s">
        <v>79</v>
      </c>
      <c r="G4" s="26" t="s">
        <v>80</v>
      </c>
      <c r="H4" s="7" t="s">
        <v>81</v>
      </c>
      <c r="I4" s="27" t="n">
        <v>0.29021716</v>
      </c>
      <c r="J4" s="1" t="n">
        <v>3</v>
      </c>
      <c r="K4" s="29" t="s">
        <v>90</v>
      </c>
      <c r="L4" s="7" t="s">
        <v>83</v>
      </c>
      <c r="M4" s="8" t="s">
        <v>84</v>
      </c>
    </row>
    <row r="5" customFormat="false" ht="13" hidden="false" customHeight="false" outlineLevel="0" collapsed="false">
      <c r="A5" s="6" t="s">
        <v>15</v>
      </c>
      <c r="B5" s="0" t="s">
        <v>89</v>
      </c>
      <c r="C5" s="6" t="s">
        <v>30</v>
      </c>
      <c r="D5" s="0" t="s">
        <v>57</v>
      </c>
      <c r="E5" s="6" t="str">
        <f aca="false">"Fig3_"&amp;B5</f>
        <v>Fig3_Alcoholic_1</v>
      </c>
      <c r="F5" s="7" t="s">
        <v>79</v>
      </c>
      <c r="G5" s="26" t="s">
        <v>80</v>
      </c>
      <c r="H5" s="7" t="s">
        <v>81</v>
      </c>
      <c r="I5" s="27" t="n">
        <v>0.21784186</v>
      </c>
      <c r="J5" s="1" t="n">
        <v>8</v>
      </c>
      <c r="K5" s="29" t="s">
        <v>90</v>
      </c>
      <c r="L5" s="7" t="s">
        <v>83</v>
      </c>
      <c r="M5" s="8" t="s">
        <v>84</v>
      </c>
    </row>
    <row r="6" customFormat="false" ht="13" hidden="false" customHeight="false" outlineLevel="0" collapsed="false">
      <c r="A6" s="6" t="s">
        <v>15</v>
      </c>
      <c r="B6" s="0" t="s">
        <v>89</v>
      </c>
      <c r="C6" s="6" t="s">
        <v>30</v>
      </c>
      <c r="D6" s="0" t="s">
        <v>57</v>
      </c>
      <c r="E6" s="6" t="str">
        <f aca="false">"Fig3_"&amp;B6</f>
        <v>Fig3_Alcoholic_1</v>
      </c>
      <c r="F6" s="7" t="s">
        <v>79</v>
      </c>
      <c r="G6" s="26" t="s">
        <v>80</v>
      </c>
      <c r="H6" s="7" t="s">
        <v>81</v>
      </c>
      <c r="I6" s="27" t="n">
        <v>0.21521382</v>
      </c>
      <c r="J6" s="1" t="n">
        <v>15</v>
      </c>
      <c r="K6" s="29" t="s">
        <v>90</v>
      </c>
      <c r="L6" s="7" t="s">
        <v>83</v>
      </c>
      <c r="M6" s="8" t="s">
        <v>84</v>
      </c>
    </row>
    <row r="7" customFormat="false" ht="13" hidden="false" customHeight="false" outlineLevel="0" collapsed="false">
      <c r="A7" s="6" t="s">
        <v>15</v>
      </c>
      <c r="B7" s="0" t="s">
        <v>91</v>
      </c>
      <c r="C7" s="6" t="s">
        <v>30</v>
      </c>
      <c r="D7" s="0" t="s">
        <v>57</v>
      </c>
      <c r="E7" s="6" t="str">
        <f aca="false">"Fig3_"&amp;B7</f>
        <v>Fig3_Alcoholic_2</v>
      </c>
      <c r="F7" s="7" t="s">
        <v>79</v>
      </c>
      <c r="G7" s="26" t="s">
        <v>80</v>
      </c>
      <c r="H7" s="7" t="s">
        <v>81</v>
      </c>
      <c r="I7" s="27" t="n">
        <v>0.54017216</v>
      </c>
      <c r="J7" s="33" t="n">
        <v>1</v>
      </c>
      <c r="K7" s="29" t="s">
        <v>90</v>
      </c>
      <c r="L7" s="7" t="s">
        <v>83</v>
      </c>
      <c r="M7" s="8" t="s">
        <v>84</v>
      </c>
    </row>
    <row r="8" customFormat="false" ht="13" hidden="false" customHeight="false" outlineLevel="0" collapsed="false">
      <c r="A8" s="6" t="s">
        <v>15</v>
      </c>
      <c r="B8" s="0" t="s">
        <v>91</v>
      </c>
      <c r="C8" s="6" t="s">
        <v>30</v>
      </c>
      <c r="D8" s="0" t="s">
        <v>57</v>
      </c>
      <c r="E8" s="6" t="str">
        <f aca="false">"Fig3_"&amp;B8</f>
        <v>Fig3_Alcoholic_2</v>
      </c>
      <c r="F8" s="7" t="s">
        <v>79</v>
      </c>
      <c r="G8" s="26" t="s">
        <v>80</v>
      </c>
      <c r="H8" s="7" t="s">
        <v>81</v>
      </c>
      <c r="I8" s="27" t="n">
        <v>0.62003565</v>
      </c>
      <c r="J8" s="1" t="n">
        <v>3</v>
      </c>
      <c r="K8" s="29" t="s">
        <v>90</v>
      </c>
      <c r="L8" s="7" t="s">
        <v>83</v>
      </c>
      <c r="M8" s="8" t="s">
        <v>84</v>
      </c>
    </row>
    <row r="9" customFormat="false" ht="13" hidden="false" customHeight="false" outlineLevel="0" collapsed="false">
      <c r="A9" s="6" t="s">
        <v>15</v>
      </c>
      <c r="B9" s="0" t="s">
        <v>91</v>
      </c>
      <c r="C9" s="6" t="s">
        <v>30</v>
      </c>
      <c r="D9" s="0" t="s">
        <v>57</v>
      </c>
      <c r="E9" s="6" t="str">
        <f aca="false">"Fig3_"&amp;B9</f>
        <v>Fig3_Alcoholic_2</v>
      </c>
      <c r="F9" s="7" t="s">
        <v>79</v>
      </c>
      <c r="G9" s="26" t="s">
        <v>80</v>
      </c>
      <c r="H9" s="7" t="s">
        <v>81</v>
      </c>
      <c r="I9" s="27" t="n">
        <v>0.43997687</v>
      </c>
      <c r="J9" s="1" t="n">
        <v>8</v>
      </c>
      <c r="K9" s="29" t="s">
        <v>90</v>
      </c>
      <c r="L9" s="7" t="s">
        <v>83</v>
      </c>
      <c r="M9" s="8" t="s">
        <v>84</v>
      </c>
    </row>
    <row r="10" customFormat="false" ht="13" hidden="false" customHeight="false" outlineLevel="0" collapsed="false">
      <c r="A10" s="6" t="s">
        <v>15</v>
      </c>
      <c r="B10" s="0" t="s">
        <v>91</v>
      </c>
      <c r="C10" s="6" t="s">
        <v>30</v>
      </c>
      <c r="D10" s="0" t="s">
        <v>57</v>
      </c>
      <c r="E10" s="6" t="str">
        <f aca="false">"Fig3_"&amp;B10</f>
        <v>Fig3_Alcoholic_2</v>
      </c>
      <c r="F10" s="7" t="s">
        <v>79</v>
      </c>
      <c r="G10" s="26" t="s">
        <v>80</v>
      </c>
      <c r="H10" s="7" t="s">
        <v>81</v>
      </c>
      <c r="I10" s="27" t="n">
        <v>0.41907948</v>
      </c>
      <c r="J10" s="1" t="n">
        <v>15</v>
      </c>
      <c r="K10" s="29" t="s">
        <v>90</v>
      </c>
      <c r="L10" s="7" t="s">
        <v>83</v>
      </c>
      <c r="M10" s="8" t="s">
        <v>84</v>
      </c>
    </row>
    <row r="11" customFormat="false" ht="13" hidden="false" customHeight="false" outlineLevel="0" collapsed="false">
      <c r="A11" s="6" t="s">
        <v>15</v>
      </c>
      <c r="B11" s="0" t="s">
        <v>92</v>
      </c>
      <c r="C11" s="6" t="s">
        <v>30</v>
      </c>
      <c r="D11" s="0" t="s">
        <v>57</v>
      </c>
      <c r="E11" s="6" t="str">
        <f aca="false">"Fig3_"&amp;B11</f>
        <v>Fig3_Alcoholic_3</v>
      </c>
      <c r="F11" s="7" t="s">
        <v>79</v>
      </c>
      <c r="G11" s="26" t="s">
        <v>80</v>
      </c>
      <c r="H11" s="7" t="s">
        <v>81</v>
      </c>
      <c r="I11" s="27" t="n">
        <v>0.47948304</v>
      </c>
      <c r="J11" s="33" t="n">
        <v>1</v>
      </c>
      <c r="K11" s="29" t="s">
        <v>90</v>
      </c>
      <c r="L11" s="7" t="s">
        <v>83</v>
      </c>
      <c r="M11" s="8" t="s">
        <v>84</v>
      </c>
    </row>
    <row r="12" customFormat="false" ht="13" hidden="false" customHeight="false" outlineLevel="0" collapsed="false">
      <c r="A12" s="6" t="s">
        <v>15</v>
      </c>
      <c r="B12" s="0" t="s">
        <v>92</v>
      </c>
      <c r="C12" s="6" t="s">
        <v>30</v>
      </c>
      <c r="D12" s="0" t="s">
        <v>57</v>
      </c>
      <c r="E12" s="6" t="str">
        <f aca="false">"Fig3_"&amp;B12</f>
        <v>Fig3_Alcoholic_3</v>
      </c>
      <c r="F12" s="7" t="s">
        <v>79</v>
      </c>
      <c r="G12" s="26" t="s">
        <v>80</v>
      </c>
      <c r="H12" s="7" t="s">
        <v>81</v>
      </c>
      <c r="I12" s="27" t="n">
        <v>0.3097295</v>
      </c>
      <c r="J12" s="1" t="n">
        <v>3</v>
      </c>
      <c r="K12" s="29" t="s">
        <v>90</v>
      </c>
      <c r="L12" s="7" t="s">
        <v>83</v>
      </c>
      <c r="M12" s="8" t="s">
        <v>84</v>
      </c>
    </row>
    <row r="13" customFormat="false" ht="13" hidden="false" customHeight="false" outlineLevel="0" collapsed="false">
      <c r="A13" s="6" t="s">
        <v>15</v>
      </c>
      <c r="B13" s="0" t="s">
        <v>92</v>
      </c>
      <c r="C13" s="6" t="s">
        <v>30</v>
      </c>
      <c r="D13" s="0" t="s">
        <v>57</v>
      </c>
      <c r="E13" s="6" t="str">
        <f aca="false">"Fig3_"&amp;B13</f>
        <v>Fig3_Alcoholic_3</v>
      </c>
      <c r="F13" s="7" t="s">
        <v>79</v>
      </c>
      <c r="G13" s="26" t="s">
        <v>80</v>
      </c>
      <c r="H13" s="7" t="s">
        <v>81</v>
      </c>
      <c r="I13" s="27" t="n">
        <v>0.30944118</v>
      </c>
      <c r="J13" s="1" t="n">
        <v>8</v>
      </c>
      <c r="K13" s="29" t="s">
        <v>90</v>
      </c>
      <c r="L13" s="7" t="s">
        <v>83</v>
      </c>
      <c r="M13" s="8" t="s">
        <v>84</v>
      </c>
    </row>
    <row r="14" customFormat="false" ht="13" hidden="false" customHeight="false" outlineLevel="0" collapsed="false">
      <c r="A14" s="6" t="s">
        <v>15</v>
      </c>
      <c r="B14" s="0" t="s">
        <v>92</v>
      </c>
      <c r="C14" s="6" t="s">
        <v>30</v>
      </c>
      <c r="D14" s="0" t="s">
        <v>57</v>
      </c>
      <c r="E14" s="6" t="str">
        <f aca="false">"Fig3_"&amp;B14</f>
        <v>Fig3_Alcoholic_3</v>
      </c>
      <c r="F14" s="7" t="s">
        <v>79</v>
      </c>
      <c r="G14" s="26" t="s">
        <v>80</v>
      </c>
      <c r="H14" s="7" t="s">
        <v>81</v>
      </c>
      <c r="I14" s="27" t="n">
        <v>0.23816401</v>
      </c>
      <c r="J14" s="1" t="n">
        <v>15</v>
      </c>
      <c r="K14" s="29" t="s">
        <v>90</v>
      </c>
      <c r="L14" s="7" t="s">
        <v>83</v>
      </c>
      <c r="M14" s="8" t="s">
        <v>84</v>
      </c>
    </row>
    <row r="15" customFormat="false" ht="13" hidden="false" customHeight="false" outlineLevel="0" collapsed="false">
      <c r="A15" s="6" t="s">
        <v>15</v>
      </c>
      <c r="B15" s="0" t="s">
        <v>93</v>
      </c>
      <c r="C15" s="6" t="s">
        <v>30</v>
      </c>
      <c r="D15" s="0" t="s">
        <v>57</v>
      </c>
      <c r="E15" s="6" t="str">
        <f aca="false">"Fig3_"&amp;B15</f>
        <v>Fig3_Alcoholic_4</v>
      </c>
      <c r="F15" s="7" t="s">
        <v>79</v>
      </c>
      <c r="G15" s="26" t="s">
        <v>80</v>
      </c>
      <c r="H15" s="7" t="s">
        <v>81</v>
      </c>
      <c r="I15" s="27" t="n">
        <v>0.2836795</v>
      </c>
      <c r="J15" s="33" t="n">
        <v>1</v>
      </c>
      <c r="K15" s="29" t="s">
        <v>90</v>
      </c>
      <c r="L15" s="7" t="s">
        <v>83</v>
      </c>
      <c r="M15" s="8" t="s">
        <v>84</v>
      </c>
    </row>
    <row r="16" customFormat="false" ht="13" hidden="false" customHeight="false" outlineLevel="0" collapsed="false">
      <c r="A16" s="6" t="s">
        <v>15</v>
      </c>
      <c r="B16" s="0" t="s">
        <v>93</v>
      </c>
      <c r="C16" s="6" t="s">
        <v>30</v>
      </c>
      <c r="D16" s="0" t="s">
        <v>57</v>
      </c>
      <c r="E16" s="6" t="str">
        <f aca="false">"Fig3_"&amp;B16</f>
        <v>Fig3_Alcoholic_4</v>
      </c>
      <c r="F16" s="7" t="s">
        <v>79</v>
      </c>
      <c r="G16" s="26" t="s">
        <v>80</v>
      </c>
      <c r="H16" s="7" t="s">
        <v>81</v>
      </c>
      <c r="I16" s="27" t="n">
        <v>0.06583623</v>
      </c>
      <c r="J16" s="1" t="n">
        <v>3</v>
      </c>
      <c r="K16" s="29" t="s">
        <v>90</v>
      </c>
      <c r="L16" s="7" t="s">
        <v>83</v>
      </c>
      <c r="M16" s="8" t="s">
        <v>84</v>
      </c>
    </row>
    <row r="17" customFormat="false" ht="13" hidden="false" customHeight="false" outlineLevel="0" collapsed="false">
      <c r="A17" s="6" t="s">
        <v>15</v>
      </c>
      <c r="B17" s="0" t="s">
        <v>93</v>
      </c>
      <c r="C17" s="6" t="s">
        <v>30</v>
      </c>
      <c r="D17" s="0" t="s">
        <v>57</v>
      </c>
      <c r="E17" s="6" t="str">
        <f aca="false">"Fig3_"&amp;B17</f>
        <v>Fig3_Alcoholic_4</v>
      </c>
      <c r="F17" s="7" t="s">
        <v>79</v>
      </c>
      <c r="G17" s="26" t="s">
        <v>80</v>
      </c>
      <c r="H17" s="7" t="s">
        <v>81</v>
      </c>
      <c r="I17" s="27" t="n">
        <v>0.15715273</v>
      </c>
      <c r="J17" s="1" t="n">
        <v>8</v>
      </c>
      <c r="K17" s="29" t="s">
        <v>90</v>
      </c>
      <c r="L17" s="7" t="s">
        <v>83</v>
      </c>
      <c r="M17" s="8" t="s">
        <v>84</v>
      </c>
    </row>
    <row r="18" customFormat="false" ht="13" hidden="false" customHeight="false" outlineLevel="0" collapsed="false">
      <c r="A18" s="6" t="s">
        <v>15</v>
      </c>
      <c r="B18" s="0" t="s">
        <v>93</v>
      </c>
      <c r="C18" s="6" t="s">
        <v>30</v>
      </c>
      <c r="D18" s="0" t="s">
        <v>57</v>
      </c>
      <c r="E18" s="6" t="str">
        <f aca="false">"Fig3_"&amp;B18</f>
        <v>Fig3_Alcoholic_4</v>
      </c>
      <c r="F18" s="7" t="s">
        <v>79</v>
      </c>
      <c r="G18" s="26" t="s">
        <v>80</v>
      </c>
      <c r="H18" s="7" t="s">
        <v>81</v>
      </c>
      <c r="I18" s="27" t="n">
        <v>0.16259229</v>
      </c>
      <c r="J18" s="1" t="n">
        <v>15</v>
      </c>
      <c r="K18" s="29" t="s">
        <v>90</v>
      </c>
      <c r="L18" s="7" t="s">
        <v>83</v>
      </c>
      <c r="M18" s="8" t="s">
        <v>84</v>
      </c>
    </row>
    <row r="19" customFormat="false" ht="13" hidden="false" customHeight="false" outlineLevel="0" collapsed="false">
      <c r="A19" s="6" t="s">
        <v>15</v>
      </c>
      <c r="B19" s="0" t="s">
        <v>94</v>
      </c>
      <c r="C19" s="6" t="s">
        <v>30</v>
      </c>
      <c r="D19" s="0" t="s">
        <v>57</v>
      </c>
      <c r="E19" s="6" t="str">
        <f aca="false">"Fig3_"&amp;B19</f>
        <v>Fig3_Alcoholic_5</v>
      </c>
      <c r="F19" s="7" t="s">
        <v>79</v>
      </c>
      <c r="G19" s="26" t="s">
        <v>80</v>
      </c>
      <c r="H19" s="7" t="s">
        <v>81</v>
      </c>
      <c r="I19" s="27" t="n">
        <v>0.23558839</v>
      </c>
      <c r="J19" s="33" t="n">
        <v>1</v>
      </c>
      <c r="K19" s="29" t="s">
        <v>90</v>
      </c>
      <c r="L19" s="7" t="s">
        <v>83</v>
      </c>
      <c r="M19" s="8" t="s">
        <v>84</v>
      </c>
    </row>
    <row r="20" customFormat="false" ht="13" hidden="false" customHeight="false" outlineLevel="0" collapsed="false">
      <c r="A20" s="6" t="s">
        <v>15</v>
      </c>
      <c r="B20" s="0" t="s">
        <v>94</v>
      </c>
      <c r="C20" s="6" t="s">
        <v>30</v>
      </c>
      <c r="D20" s="0" t="s">
        <v>57</v>
      </c>
      <c r="E20" s="6" t="str">
        <f aca="false">"Fig3_"&amp;B20</f>
        <v>Fig3_Alcoholic_5</v>
      </c>
      <c r="F20" s="7" t="s">
        <v>79</v>
      </c>
      <c r="G20" s="26" t="s">
        <v>80</v>
      </c>
      <c r="H20" s="7" t="s">
        <v>81</v>
      </c>
      <c r="I20" s="27" t="n">
        <v>0.21469097</v>
      </c>
      <c r="J20" s="1" t="n">
        <v>3</v>
      </c>
      <c r="K20" s="29" t="s">
        <v>90</v>
      </c>
      <c r="L20" s="7" t="s">
        <v>83</v>
      </c>
      <c r="M20" s="8" t="s">
        <v>84</v>
      </c>
    </row>
    <row r="21" customFormat="false" ht="13" hidden="false" customHeight="false" outlineLevel="0" collapsed="false">
      <c r="A21" s="6" t="s">
        <v>15</v>
      </c>
      <c r="B21" s="0" t="s">
        <v>94</v>
      </c>
      <c r="C21" s="6" t="s">
        <v>30</v>
      </c>
      <c r="D21" s="0" t="s">
        <v>57</v>
      </c>
      <c r="E21" s="6" t="str">
        <f aca="false">"Fig3_"&amp;B21</f>
        <v>Fig3_Alcoholic_5</v>
      </c>
      <c r="F21" s="7" t="s">
        <v>79</v>
      </c>
      <c r="G21" s="26" t="s">
        <v>80</v>
      </c>
      <c r="H21" s="7" t="s">
        <v>81</v>
      </c>
      <c r="I21" s="27" t="n">
        <v>0.1410658</v>
      </c>
      <c r="J21" s="1" t="n">
        <v>8</v>
      </c>
      <c r="K21" s="29" t="s">
        <v>90</v>
      </c>
      <c r="L21" s="7" t="s">
        <v>83</v>
      </c>
      <c r="M21" s="8" t="s">
        <v>84</v>
      </c>
    </row>
    <row r="22" customFormat="false" ht="13" hidden="false" customHeight="false" outlineLevel="0" collapsed="false">
      <c r="A22" s="6" t="s">
        <v>15</v>
      </c>
      <c r="B22" s="0" t="s">
        <v>94</v>
      </c>
      <c r="C22" s="6" t="s">
        <v>30</v>
      </c>
      <c r="D22" s="0" t="s">
        <v>57</v>
      </c>
      <c r="E22" s="6" t="str">
        <f aca="false">"Fig3_"&amp;B22</f>
        <v>Fig3_Alcoholic_5</v>
      </c>
      <c r="F22" s="7" t="s">
        <v>79</v>
      </c>
      <c r="G22" s="26" t="s">
        <v>80</v>
      </c>
      <c r="H22" s="7" t="s">
        <v>81</v>
      </c>
      <c r="I22" s="27" t="n">
        <v>0.108777456</v>
      </c>
      <c r="J22" s="1" t="n">
        <v>15</v>
      </c>
      <c r="K22" s="29" t="s">
        <v>90</v>
      </c>
      <c r="L22" s="7" t="s">
        <v>83</v>
      </c>
      <c r="M22" s="8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8" t="s">
        <v>0</v>
      </c>
      <c r="B1" s="18" t="s">
        <v>66</v>
      </c>
      <c r="C1" s="18" t="s">
        <v>67</v>
      </c>
      <c r="D1" s="18" t="s">
        <v>68</v>
      </c>
      <c r="E1" s="18" t="s">
        <v>69</v>
      </c>
      <c r="F1" s="18" t="s">
        <v>41</v>
      </c>
      <c r="G1" s="18" t="s">
        <v>70</v>
      </c>
      <c r="H1" s="18" t="s">
        <v>71</v>
      </c>
      <c r="I1" s="19" t="s">
        <v>43</v>
      </c>
      <c r="J1" s="31" t="s">
        <v>44</v>
      </c>
      <c r="K1" s="19" t="s">
        <v>45</v>
      </c>
      <c r="L1" s="18" t="s">
        <v>72</v>
      </c>
      <c r="M1" s="18" t="s">
        <v>73</v>
      </c>
      <c r="N1" s="21" t="s">
        <v>10</v>
      </c>
    </row>
    <row r="2" customFormat="false" ht="12.8" hidden="false" customHeight="false" outlineLevel="0" collapsed="false">
      <c r="A2" s="22" t="s">
        <v>11</v>
      </c>
      <c r="B2" s="22" t="s">
        <v>66</v>
      </c>
      <c r="C2" s="22" t="s">
        <v>67</v>
      </c>
      <c r="D2" s="22" t="s">
        <v>68</v>
      </c>
      <c r="E2" s="22" t="s">
        <v>74</v>
      </c>
      <c r="F2" s="22" t="s">
        <v>41</v>
      </c>
      <c r="G2" s="22" t="s">
        <v>42</v>
      </c>
      <c r="H2" s="22" t="s">
        <v>75</v>
      </c>
      <c r="I2" s="23" t="s">
        <v>43</v>
      </c>
      <c r="J2" s="32" t="s">
        <v>44</v>
      </c>
      <c r="K2" s="23" t="s">
        <v>45</v>
      </c>
      <c r="L2" s="22" t="s">
        <v>9</v>
      </c>
      <c r="M2" s="22" t="s">
        <v>76</v>
      </c>
      <c r="N2" s="25" t="s">
        <v>14</v>
      </c>
    </row>
    <row r="3" customFormat="false" ht="13" hidden="false" customHeight="false" outlineLevel="0" collapsed="false">
      <c r="A3" s="6" t="s">
        <v>15</v>
      </c>
      <c r="B3" s="0" t="s">
        <v>95</v>
      </c>
      <c r="C3" s="6" t="s">
        <v>37</v>
      </c>
      <c r="D3" s="0" t="s">
        <v>59</v>
      </c>
      <c r="E3" s="6" t="str">
        <f aca="false">"Fig3_"&amp;B3</f>
        <v>Fig3_NALD_1</v>
      </c>
      <c r="F3" s="7" t="s">
        <v>79</v>
      </c>
      <c r="G3" s="26" t="s">
        <v>80</v>
      </c>
      <c r="H3" s="7" t="s">
        <v>81</v>
      </c>
      <c r="I3" s="27" t="n">
        <v>0.34093216</v>
      </c>
      <c r="J3" s="33" t="n">
        <v>0</v>
      </c>
      <c r="K3" s="29" t="s">
        <v>90</v>
      </c>
      <c r="L3" s="7" t="s">
        <v>83</v>
      </c>
      <c r="M3" s="8" t="s">
        <v>84</v>
      </c>
    </row>
    <row r="4" customFormat="false" ht="13" hidden="false" customHeight="false" outlineLevel="0" collapsed="false">
      <c r="A4" s="6" t="s">
        <v>15</v>
      </c>
      <c r="B4" s="0" t="s">
        <v>96</v>
      </c>
      <c r="C4" s="6" t="s">
        <v>37</v>
      </c>
      <c r="D4" s="0" t="s">
        <v>59</v>
      </c>
      <c r="E4" s="6" t="str">
        <f aca="false">"Fig3_"&amp;B4</f>
        <v>Fig3_NALD_2</v>
      </c>
      <c r="F4" s="7" t="s">
        <v>79</v>
      </c>
      <c r="G4" s="26" t="s">
        <v>80</v>
      </c>
      <c r="H4" s="7" t="s">
        <v>81</v>
      </c>
      <c r="I4" s="27" t="n">
        <v>0.22532591</v>
      </c>
      <c r="J4" s="33" t="n">
        <v>0</v>
      </c>
      <c r="K4" s="29" t="s">
        <v>90</v>
      </c>
      <c r="L4" s="7" t="s">
        <v>83</v>
      </c>
      <c r="M4" s="8" t="s">
        <v>84</v>
      </c>
    </row>
    <row r="5" customFormat="false" ht="13" hidden="false" customHeight="false" outlineLevel="0" collapsed="false">
      <c r="A5" s="6" t="s">
        <v>15</v>
      </c>
      <c r="B5" s="0" t="s">
        <v>97</v>
      </c>
      <c r="C5" s="6" t="s">
        <v>37</v>
      </c>
      <c r="D5" s="0" t="s">
        <v>59</v>
      </c>
      <c r="E5" s="6" t="str">
        <f aca="false">"Fig3_"&amp;B5</f>
        <v>Fig3_NALD_3</v>
      </c>
      <c r="F5" s="7" t="s">
        <v>79</v>
      </c>
      <c r="G5" s="26" t="s">
        <v>80</v>
      </c>
      <c r="H5" s="7" t="s">
        <v>81</v>
      </c>
      <c r="I5" s="27" t="n">
        <v>0.23329833</v>
      </c>
      <c r="J5" s="33" t="n">
        <v>0</v>
      </c>
      <c r="K5" s="29" t="s">
        <v>90</v>
      </c>
      <c r="L5" s="7" t="s">
        <v>83</v>
      </c>
      <c r="M5" s="8" t="s">
        <v>84</v>
      </c>
    </row>
    <row r="6" customFormat="false" ht="13" hidden="false" customHeight="false" outlineLevel="0" collapsed="false">
      <c r="A6" s="6" t="s">
        <v>15</v>
      </c>
      <c r="B6" s="0" t="s">
        <v>98</v>
      </c>
      <c r="C6" s="6" t="s">
        <v>37</v>
      </c>
      <c r="D6" s="0" t="s">
        <v>59</v>
      </c>
      <c r="E6" s="6" t="str">
        <f aca="false">"Fig3_"&amp;B6</f>
        <v>Fig3_NALD_4</v>
      </c>
      <c r="F6" s="7" t="s">
        <v>79</v>
      </c>
      <c r="G6" s="26" t="s">
        <v>80</v>
      </c>
      <c r="H6" s="7" t="s">
        <v>81</v>
      </c>
      <c r="I6" s="27" t="n">
        <v>0.23667961</v>
      </c>
      <c r="J6" s="33" t="n">
        <v>0</v>
      </c>
      <c r="K6" s="29" t="s">
        <v>90</v>
      </c>
      <c r="L6" s="7" t="s">
        <v>83</v>
      </c>
      <c r="M6" s="8" t="s">
        <v>84</v>
      </c>
    </row>
    <row r="7" customFormat="false" ht="13" hidden="false" customHeight="false" outlineLevel="0" collapsed="false">
      <c r="A7" s="6" t="s">
        <v>15</v>
      </c>
      <c r="B7" s="0" t="s">
        <v>99</v>
      </c>
      <c r="C7" s="6" t="s">
        <v>37</v>
      </c>
      <c r="D7" s="0" t="s">
        <v>59</v>
      </c>
      <c r="E7" s="6" t="str">
        <f aca="false">"Fig3_"&amp;B7</f>
        <v>Fig3_NALD_5</v>
      </c>
      <c r="F7" s="7" t="s">
        <v>79</v>
      </c>
      <c r="G7" s="26" t="s">
        <v>80</v>
      </c>
      <c r="H7" s="7" t="s">
        <v>81</v>
      </c>
      <c r="I7" s="27" t="n">
        <v>0.08559</v>
      </c>
      <c r="J7" s="33" t="n">
        <v>0</v>
      </c>
      <c r="K7" s="29" t="s">
        <v>90</v>
      </c>
      <c r="L7" s="7" t="s">
        <v>83</v>
      </c>
      <c r="M7" s="8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2920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2022-04-13T13:22:45Z</dcterms:created>
  <dc:creator/>
  <dc:description/>
  <dc:language>en-US</dc:language>
  <cp:lastModifiedBy/>
  <dcterms:modified xsi:type="dcterms:W3CDTF">2023-03-22T18:16:49Z</dcterms:modified>
  <cp:revision>209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