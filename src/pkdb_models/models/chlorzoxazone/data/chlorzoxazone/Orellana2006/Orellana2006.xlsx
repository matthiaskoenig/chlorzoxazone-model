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abGroups" sheetId="1" state="visible" r:id="rId2"/>
    <sheet name="TabInterventions" sheetId="2" state="visible" r:id="rId3"/>
    <sheet name="Fig1" sheetId="3" state="visible" r:id="rId4"/>
    <sheet name="Fig2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<sst xmlns="http://schemas.openxmlformats.org/spreadsheetml/2006/main" count="223" uniqueCount="73">
  <si>
    <t xml:space="preserve">Study</t>
  </si>
  <si>
    <t xml:space="preserve">name</t>
  </si>
  <si>
    <t xml:space="preserve">parent</t>
  </si>
  <si>
    <t xml:space="preserve">Measurement Type</t>
  </si>
  <si>
    <t xml:space="preserve">group_count</t>
  </si>
  <si>
    <t xml:space="preserve">Choice</t>
  </si>
  <si>
    <t xml:space="preserve">count</t>
  </si>
  <si>
    <t xml:space="preserve">mean</t>
  </si>
  <si>
    <t xml:space="preserve">se</t>
  </si>
  <si>
    <t xml:space="preserve">unit</t>
  </si>
  <si>
    <t xml:space="preserve">Comments</t>
  </si>
  <si>
    <t xml:space="preserve">study</t>
  </si>
  <si>
    <t xml:space="preserve">measurement_type</t>
  </si>
  <si>
    <t xml:space="preserve">choice</t>
  </si>
  <si>
    <t xml:space="preserve">comments</t>
  </si>
  <si>
    <t xml:space="preserve">Orellana2006</t>
  </si>
  <si>
    <t xml:space="preserve">all</t>
  </si>
  <si>
    <t xml:space="preserve">sex</t>
  </si>
  <si>
    <t xml:space="preserve">W</t>
  </si>
  <si>
    <t xml:space="preserve">species</t>
  </si>
  <si>
    <t xml:space="preserve">homo sapiens</t>
  </si>
  <si>
    <t xml:space="preserve">healthy</t>
  </si>
  <si>
    <t xml:space="preserve">Y</t>
  </si>
  <si>
    <t xml:space="preserve">N</t>
  </si>
  <si>
    <t xml:space="preserve">control</t>
  </si>
  <si>
    <t xml:space="preserve">age</t>
  </si>
  <si>
    <t xml:space="preserve">yr</t>
  </si>
  <si>
    <t xml:space="preserve">bmi</t>
  </si>
  <si>
    <t xml:space="preserve">kg/m^2</t>
  </si>
  <si>
    <t xml:space="preserve">steatosis</t>
  </si>
  <si>
    <t xml:space="preserve">disease</t>
  </si>
  <si>
    <t xml:space="preserve">fatty liver disease</t>
  </si>
  <si>
    <t xml:space="preserve">steatohepatitis</t>
  </si>
  <si>
    <t xml:space="preserve">nash</t>
  </si>
  <si>
    <t xml:space="preserve">form</t>
  </si>
  <si>
    <t xml:space="preserve">measurement</t>
  </si>
  <si>
    <t xml:space="preserve">substance</t>
  </si>
  <si>
    <t xml:space="preserve">value</t>
  </si>
  <si>
    <t xml:space="preserve">time</t>
  </si>
  <si>
    <t xml:space="preserve">time_unit</t>
  </si>
  <si>
    <t xml:space="preserve">route</t>
  </si>
  <si>
    <t xml:space="preserve">application</t>
  </si>
  <si>
    <t xml:space="preserve">tablet</t>
  </si>
  <si>
    <t xml:space="preserve">CZX</t>
  </si>
  <si>
    <t xml:space="preserve">dosing</t>
  </si>
  <si>
    <t xml:space="preserve">chlorzoxazone</t>
  </si>
  <si>
    <t xml:space="preserve">mg</t>
  </si>
  <si>
    <t xml:space="preserve">hr</t>
  </si>
  <si>
    <t xml:space="preserve">oral</t>
  </si>
  <si>
    <t xml:space="preserve">single dose</t>
  </si>
  <si>
    <t xml:space="preserve">
</t>
  </si>
  <si>
    <t xml:space="preserve">group</t>
  </si>
  <si>
    <t xml:space="preserve">intervention</t>
  </si>
  <si>
    <t xml:space="preserve">Label</t>
  </si>
  <si>
    <t xml:space="preserve">Substance</t>
  </si>
  <si>
    <t xml:space="preserve">Tissue</t>
  </si>
  <si>
    <t xml:space="preserve">sd</t>
  </si>
  <si>
    <t xml:space="preserve">Unit</t>
  </si>
  <si>
    <t xml:space="preserve">Method</t>
  </si>
  <si>
    <t xml:space="preserve">label</t>
  </si>
  <si>
    <t xml:space="preserve">tissue</t>
  </si>
  <si>
    <t xml:space="preserve">method</t>
  </si>
  <si>
    <t xml:space="preserve">metabolic ratio</t>
  </si>
  <si>
    <t xml:space="preserve">6-hydroxychlorzoxazone/chlorzoxazone</t>
  </si>
  <si>
    <t xml:space="preserve">plasma</t>
  </si>
  <si>
    <t xml:space="preserve">day</t>
  </si>
  <si>
    <t xml:space="preserve">dimensionless</t>
  </si>
  <si>
    <t xml:space="preserve">HPLC</t>
  </si>
  <si>
    <t xml:space="preserve">concentration</t>
  </si>
  <si>
    <t xml:space="preserve">CYP2E1</t>
  </si>
  <si>
    <t xml:space="preserve">HLM</t>
  </si>
  <si>
    <t xml:space="preserve">pmol/mg(protein)</t>
  </si>
  <si>
    <t xml:space="preserve">western blot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</si>
</sst>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231F2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CCCCCC"/>
      </patternFill>
    </fill>
    <fill>
      <patternFill patternType="solid">
        <fgColor rgb="FF000000"/>
        <bgColor rgb="FF231F20"/>
      </patternFill>
    </fill>
    <fill>
      <patternFill patternType="solid">
        <fgColor rgb="FFCCCCCC"/>
        <bgColor rgb="FFDDDDD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1F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9.54"/>
    <col collapsed="false" customWidth="true" hidden="false" outlineLevel="0" max="4" min="4" style="0" width="19.08"/>
    <col collapsed="false" customWidth="true" hidden="false" outlineLevel="0" max="6" min="6" style="0" width="19.08"/>
  </cols>
  <sheetData>
    <row r="1" s="3" customFormat="true" ht="2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AMH1" s="0"/>
      <c r="AMI1" s="0"/>
      <c r="AMJ1" s="0"/>
    </row>
    <row r="2" s="3" customFormat="true" ht="24" hidden="false" customHeight="false" outlineLevel="0" collapsed="false">
      <c r="A2" s="4" t="s">
        <v>11</v>
      </c>
      <c r="B2" s="4" t="s">
        <v>1</v>
      </c>
      <c r="C2" s="4" t="s">
        <v>2</v>
      </c>
      <c r="D2" s="4" t="s">
        <v>12</v>
      </c>
      <c r="E2" s="4" t="s">
        <v>4</v>
      </c>
      <c r="F2" s="4" t="s">
        <v>13</v>
      </c>
      <c r="G2" s="4" t="s">
        <v>6</v>
      </c>
      <c r="H2" s="4" t="s">
        <v>7</v>
      </c>
      <c r="I2" s="4" t="s">
        <v>8</v>
      </c>
      <c r="J2" s="5" t="s">
        <v>9</v>
      </c>
      <c r="K2" s="5" t="s">
        <v>14</v>
      </c>
      <c r="AMH2" s="0"/>
      <c r="AMI2" s="0"/>
      <c r="AMJ2" s="0"/>
    </row>
    <row r="3" s="3" customFormat="true" ht="12.8" hidden="false" customHeight="false" outlineLevel="0" collapsed="false">
      <c r="A3" s="6" t="s">
        <v>15</v>
      </c>
      <c r="B3" s="7" t="s">
        <v>16</v>
      </c>
      <c r="D3" s="7" t="s">
        <v>17</v>
      </c>
      <c r="E3" s="7" t="n">
        <v>26</v>
      </c>
      <c r="F3" s="7" t="s">
        <v>18</v>
      </c>
      <c r="G3" s="7" t="n">
        <v>26</v>
      </c>
      <c r="H3" s="7"/>
      <c r="I3" s="7"/>
      <c r="AMH3" s="0"/>
      <c r="AMI3" s="0"/>
      <c r="AMJ3" s="0"/>
    </row>
    <row r="4" s="3" customFormat="true" ht="12.8" hidden="false" customHeight="false" outlineLevel="0" collapsed="false">
      <c r="A4" s="6" t="s">
        <v>15</v>
      </c>
      <c r="B4" s="7" t="s">
        <v>16</v>
      </c>
      <c r="D4" s="7" t="s">
        <v>19</v>
      </c>
      <c r="E4" s="7" t="n">
        <v>26</v>
      </c>
      <c r="F4" s="7" t="s">
        <v>20</v>
      </c>
      <c r="G4" s="7" t="n">
        <v>26</v>
      </c>
      <c r="H4" s="7"/>
      <c r="I4" s="7"/>
      <c r="AMH4" s="0"/>
      <c r="AMI4" s="0"/>
      <c r="AMJ4" s="0"/>
    </row>
    <row r="5" s="3" customFormat="true" ht="12.8" hidden="false" customHeight="false" outlineLevel="0" collapsed="false">
      <c r="A5" s="6" t="s">
        <v>15</v>
      </c>
      <c r="B5" s="6" t="s">
        <v>16</v>
      </c>
      <c r="D5" s="6" t="s">
        <v>21</v>
      </c>
      <c r="E5" s="7" t="n">
        <v>26</v>
      </c>
      <c r="F5" s="6" t="s">
        <v>22</v>
      </c>
      <c r="G5" s="7" t="n">
        <v>6</v>
      </c>
      <c r="H5" s="7"/>
      <c r="I5" s="7"/>
      <c r="AMH5" s="0"/>
      <c r="AMI5" s="0"/>
      <c r="AMJ5" s="0"/>
    </row>
    <row r="6" s="3" customFormat="true" ht="12.8" hidden="false" customHeight="false" outlineLevel="0" collapsed="false">
      <c r="A6" s="6" t="s">
        <v>15</v>
      </c>
      <c r="B6" s="6" t="s">
        <v>16</v>
      </c>
      <c r="D6" s="6" t="s">
        <v>21</v>
      </c>
      <c r="E6" s="7" t="n">
        <v>26</v>
      </c>
      <c r="F6" s="6" t="s">
        <v>23</v>
      </c>
      <c r="G6" s="7" t="n">
        <v>20</v>
      </c>
      <c r="H6" s="7"/>
      <c r="I6" s="7"/>
      <c r="AMH6" s="0"/>
      <c r="AMI6" s="0"/>
      <c r="AMJ6" s="0"/>
    </row>
    <row r="7" s="3" customFormat="true" ht="12.8" hidden="false" customHeight="false" outlineLevel="0" collapsed="false">
      <c r="A7" s="6" t="s">
        <v>15</v>
      </c>
      <c r="B7" s="6" t="s">
        <v>24</v>
      </c>
      <c r="C7" s="3" t="s">
        <v>16</v>
      </c>
      <c r="D7" s="6" t="s">
        <v>25</v>
      </c>
      <c r="E7" s="6" t="n">
        <v>6</v>
      </c>
      <c r="F7" s="6"/>
      <c r="G7" s="7" t="n">
        <v>6</v>
      </c>
      <c r="H7" s="7" t="n">
        <v>41</v>
      </c>
      <c r="I7" s="7" t="n">
        <v>3</v>
      </c>
      <c r="J7" s="3" t="s">
        <v>26</v>
      </c>
      <c r="AMH7" s="0"/>
      <c r="AMI7" s="0"/>
      <c r="AMJ7" s="0"/>
    </row>
    <row r="8" s="3" customFormat="true" ht="12.8" hidden="false" customHeight="false" outlineLevel="0" collapsed="false">
      <c r="A8" s="6" t="s">
        <v>15</v>
      </c>
      <c r="B8" s="6" t="s">
        <v>24</v>
      </c>
      <c r="C8" s="3" t="s">
        <v>16</v>
      </c>
      <c r="D8" s="6" t="s">
        <v>27</v>
      </c>
      <c r="E8" s="6" t="n">
        <v>6</v>
      </c>
      <c r="F8" s="6"/>
      <c r="G8" s="7" t="n">
        <v>6</v>
      </c>
      <c r="H8" s="7" t="n">
        <v>36</v>
      </c>
      <c r="I8" s="7" t="n">
        <v>1</v>
      </c>
      <c r="J8" s="3" t="s">
        <v>28</v>
      </c>
      <c r="AMH8" s="0"/>
      <c r="AMI8" s="0"/>
      <c r="AMJ8" s="0"/>
    </row>
    <row r="9" s="3" customFormat="true" ht="12.8" hidden="false" customHeight="false" outlineLevel="0" collapsed="false">
      <c r="A9" s="6" t="s">
        <v>15</v>
      </c>
      <c r="B9" s="6" t="s">
        <v>29</v>
      </c>
      <c r="C9" s="3" t="s">
        <v>16</v>
      </c>
      <c r="D9" s="6" t="s">
        <v>25</v>
      </c>
      <c r="E9" s="6" t="n">
        <v>10</v>
      </c>
      <c r="F9" s="6"/>
      <c r="G9" s="7" t="n">
        <v>10</v>
      </c>
      <c r="H9" s="7" t="n">
        <v>44</v>
      </c>
      <c r="I9" s="7" t="n">
        <v>4</v>
      </c>
      <c r="J9" s="3" t="s">
        <v>26</v>
      </c>
      <c r="AMH9" s="0"/>
      <c r="AMI9" s="0"/>
      <c r="AMJ9" s="0"/>
    </row>
    <row r="10" s="3" customFormat="true" ht="12.8" hidden="false" customHeight="false" outlineLevel="0" collapsed="false">
      <c r="A10" s="6" t="s">
        <v>15</v>
      </c>
      <c r="B10" s="6" t="s">
        <v>29</v>
      </c>
      <c r="C10" s="3" t="s">
        <v>16</v>
      </c>
      <c r="D10" s="6" t="s">
        <v>27</v>
      </c>
      <c r="E10" s="6" t="n">
        <v>10</v>
      </c>
      <c r="F10" s="6"/>
      <c r="G10" s="7" t="n">
        <v>10</v>
      </c>
      <c r="H10" s="7" t="n">
        <v>36</v>
      </c>
      <c r="I10" s="7" t="n">
        <v>3</v>
      </c>
      <c r="J10" s="3" t="s">
        <v>28</v>
      </c>
      <c r="AMH10" s="0"/>
      <c r="AMI10" s="0"/>
      <c r="AMJ10" s="0"/>
    </row>
    <row r="11" s="3" customFormat="true" ht="12.8" hidden="false" customHeight="false" outlineLevel="0" collapsed="false">
      <c r="A11" s="6" t="s">
        <v>15</v>
      </c>
      <c r="B11" s="6" t="s">
        <v>29</v>
      </c>
      <c r="C11" s="3" t="s">
        <v>16</v>
      </c>
      <c r="D11" s="3" t="s">
        <v>30</v>
      </c>
      <c r="E11" s="6" t="n">
        <v>10</v>
      </c>
      <c r="F11" s="3" t="s">
        <v>31</v>
      </c>
      <c r="G11" s="3" t="n">
        <v>10</v>
      </c>
      <c r="AMH11" s="0"/>
      <c r="AMI11" s="0"/>
      <c r="AMJ11" s="0"/>
    </row>
    <row r="12" s="3" customFormat="true" ht="12.8" hidden="false" customHeight="false" outlineLevel="0" collapsed="false">
      <c r="A12" s="6" t="s">
        <v>15</v>
      </c>
      <c r="B12" s="6" t="s">
        <v>32</v>
      </c>
      <c r="C12" s="3" t="s">
        <v>16</v>
      </c>
      <c r="D12" s="6" t="s">
        <v>25</v>
      </c>
      <c r="E12" s="6" t="n">
        <v>10</v>
      </c>
      <c r="F12" s="6"/>
      <c r="G12" s="7" t="n">
        <v>10</v>
      </c>
      <c r="H12" s="7" t="n">
        <v>40</v>
      </c>
      <c r="I12" s="7" t="n">
        <v>3</v>
      </c>
      <c r="J12" s="3" t="s">
        <v>26</v>
      </c>
      <c r="AMH12" s="0"/>
      <c r="AMI12" s="0"/>
      <c r="AMJ12" s="0"/>
    </row>
    <row r="13" s="3" customFormat="true" ht="12.8" hidden="false" customHeight="false" outlineLevel="0" collapsed="false">
      <c r="A13" s="6" t="s">
        <v>15</v>
      </c>
      <c r="B13" s="6" t="s">
        <v>32</v>
      </c>
      <c r="C13" s="3" t="s">
        <v>16</v>
      </c>
      <c r="D13" s="6" t="s">
        <v>27</v>
      </c>
      <c r="E13" s="6" t="n">
        <v>10</v>
      </c>
      <c r="F13" s="6"/>
      <c r="G13" s="7" t="n">
        <v>10</v>
      </c>
      <c r="H13" s="7" t="n">
        <v>49</v>
      </c>
      <c r="I13" s="7" t="n">
        <v>2</v>
      </c>
      <c r="J13" s="3" t="s">
        <v>28</v>
      </c>
      <c r="AMH13" s="0"/>
      <c r="AMI13" s="0"/>
      <c r="AMJ13" s="0"/>
    </row>
    <row r="14" s="3" customFormat="true" ht="12.8" hidden="false" customHeight="false" outlineLevel="0" collapsed="false">
      <c r="A14" s="6" t="s">
        <v>15</v>
      </c>
      <c r="B14" s="6" t="s">
        <v>32</v>
      </c>
      <c r="C14" s="3" t="s">
        <v>16</v>
      </c>
      <c r="D14" s="3" t="s">
        <v>30</v>
      </c>
      <c r="E14" s="6" t="n">
        <v>10</v>
      </c>
      <c r="F14" s="3" t="s">
        <v>33</v>
      </c>
      <c r="G14" s="3" t="n">
        <v>10</v>
      </c>
      <c r="AMH14" s="0"/>
      <c r="AMI14" s="0"/>
      <c r="AMJ14" s="0"/>
    </row>
    <row r="15" s="3" customFormat="true" ht="12.8" hidden="false" customHeight="false" outlineLevel="0" collapsed="false">
      <c r="A15" s="6"/>
      <c r="B15" s="6"/>
      <c r="E15" s="6"/>
      <c r="AMH15" s="0"/>
      <c r="AMI15" s="0"/>
      <c r="AMJ15" s="0"/>
    </row>
    <row r="16" s="3" customFormat="true" ht="12.8" hidden="false" customHeight="false" outlineLevel="0" collapsed="false">
      <c r="A16" s="6"/>
      <c r="B16" s="6"/>
      <c r="E16" s="6"/>
      <c r="AMH16" s="0"/>
      <c r="AMI16" s="0"/>
      <c r="AMJ16" s="0"/>
    </row>
    <row r="17" s="3" customFormat="true" ht="12.8" hidden="false" customHeight="false" outlineLevel="0" collapsed="false">
      <c r="A17" s="6"/>
      <c r="B17" s="6"/>
      <c r="E17" s="6"/>
      <c r="AMH17" s="0"/>
      <c r="AMI17" s="0"/>
      <c r="AMJ17" s="0"/>
    </row>
    <row r="18" s="3" customFormat="true" ht="12.8" hidden="false" customHeight="false" outlineLevel="0" collapsed="false">
      <c r="A18" s="6"/>
      <c r="B18" s="6"/>
      <c r="D18" s="6"/>
      <c r="E18" s="6"/>
      <c r="F18" s="6"/>
      <c r="G18" s="7"/>
      <c r="H18" s="7"/>
      <c r="I18" s="7"/>
      <c r="AMH18" s="0"/>
      <c r="AMI18" s="0"/>
      <c r="AMJ18" s="0"/>
    </row>
    <row r="19" s="3" customFormat="true" ht="12.8" hidden="false" customHeight="false" outlineLevel="0" collapsed="false">
      <c r="A19" s="6"/>
      <c r="B19" s="6"/>
      <c r="D19" s="6"/>
      <c r="E19" s="6"/>
      <c r="F19" s="6"/>
      <c r="G19" s="7"/>
      <c r="H19" s="7"/>
      <c r="I19" s="7"/>
      <c r="AMH19" s="0"/>
      <c r="AMI19" s="0"/>
      <c r="AMJ19" s="0"/>
    </row>
    <row r="20" s="3" customFormat="true" ht="12.8" hidden="false" customHeight="false" outlineLevel="0" collapsed="false">
      <c r="A20" s="6"/>
      <c r="B20" s="6"/>
      <c r="D20" s="6"/>
      <c r="E20" s="6"/>
      <c r="F20" s="6"/>
      <c r="G20" s="7"/>
      <c r="H20" s="7"/>
      <c r="I20" s="7"/>
      <c r="AMH20" s="0"/>
      <c r="AMI20" s="0"/>
      <c r="AMJ20" s="0"/>
    </row>
    <row r="21" s="3" customFormat="true" ht="12.8" hidden="false" customHeight="false" outlineLevel="0" collapsed="false">
      <c r="A21" s="6"/>
      <c r="B21" s="6"/>
      <c r="D21" s="6"/>
      <c r="E21" s="6"/>
      <c r="F21" s="6"/>
      <c r="G21" s="7"/>
      <c r="H21" s="7"/>
      <c r="I21" s="7"/>
      <c r="AMH21" s="0"/>
      <c r="AMI21" s="0"/>
      <c r="AMJ21" s="0"/>
    </row>
    <row r="22" s="3" customFormat="true" ht="12.8" hidden="false" customHeight="false" outlineLevel="0" collapsed="false">
      <c r="A22" s="6"/>
      <c r="B22" s="6"/>
      <c r="E22" s="6"/>
      <c r="J22" s="7"/>
      <c r="AMH22" s="0"/>
      <c r="AMI22" s="0"/>
      <c r="AMJ22" s="0"/>
    </row>
    <row r="23" s="3" customFormat="true" ht="12.8" hidden="false" customHeight="false" outlineLevel="0" collapsed="false">
      <c r="A23" s="6"/>
      <c r="B23" s="6"/>
      <c r="E23" s="6"/>
      <c r="AMH23" s="0"/>
      <c r="AMI23" s="0"/>
      <c r="AMJ23" s="0"/>
    </row>
    <row r="24" s="3" customFormat="true" ht="12.8" hidden="false" customHeight="false" outlineLevel="0" collapsed="false">
      <c r="A24" s="6"/>
      <c r="B24" s="6"/>
      <c r="E24" s="6"/>
      <c r="AMH24" s="0"/>
      <c r="AMI24" s="0"/>
      <c r="AMJ24" s="0"/>
    </row>
    <row r="25" s="3" customFormat="true" ht="15.9" hidden="false" customHeight="true" outlineLevel="0" collapsed="false">
      <c r="A25" s="6"/>
      <c r="B25" s="6"/>
      <c r="E25" s="6"/>
      <c r="F25" s="8"/>
      <c r="AMH25" s="0"/>
      <c r="AMI25" s="0"/>
      <c r="AMJ25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1.53515625" defaultRowHeight="12.8" zeroHeight="false" outlineLevelRow="0" outlineLevelCol="0"/>
  <sheetData>
    <row r="1" s="10" customFormat="true" ht="24" hidden="false" customHeight="false" outlineLevel="0" collapsed="false">
      <c r="A1" s="9" t="s">
        <v>0</v>
      </c>
      <c r="B1" s="9" t="s">
        <v>34</v>
      </c>
      <c r="C1" s="9" t="s">
        <v>1</v>
      </c>
      <c r="D1" s="9" t="s">
        <v>35</v>
      </c>
      <c r="E1" s="9" t="s">
        <v>36</v>
      </c>
      <c r="F1" s="9" t="s">
        <v>37</v>
      </c>
      <c r="G1" s="9" t="s">
        <v>9</v>
      </c>
      <c r="H1" s="9" t="s">
        <v>38</v>
      </c>
      <c r="I1" s="9" t="s">
        <v>39</v>
      </c>
      <c r="J1" s="9" t="s">
        <v>40</v>
      </c>
      <c r="K1" s="9" t="s">
        <v>41</v>
      </c>
      <c r="L1" s="9" t="s">
        <v>10</v>
      </c>
    </row>
    <row r="2" s="10" customFormat="true" ht="24" hidden="false" customHeight="false" outlineLevel="0" collapsed="false">
      <c r="A2" s="11" t="s">
        <v>11</v>
      </c>
      <c r="B2" s="11" t="s">
        <v>34</v>
      </c>
      <c r="C2" s="11" t="s">
        <v>1</v>
      </c>
      <c r="D2" s="11" t="s">
        <v>35</v>
      </c>
      <c r="E2" s="11" t="s">
        <v>36</v>
      </c>
      <c r="F2" s="11" t="s">
        <v>37</v>
      </c>
      <c r="G2" s="11" t="s">
        <v>9</v>
      </c>
      <c r="H2" s="11" t="s">
        <v>38</v>
      </c>
      <c r="I2" s="12" t="s">
        <v>39</v>
      </c>
      <c r="J2" s="11" t="s">
        <v>40</v>
      </c>
      <c r="K2" s="11" t="s">
        <v>41</v>
      </c>
      <c r="L2" s="11" t="s">
        <v>14</v>
      </c>
    </row>
    <row r="3" s="10" customFormat="true" ht="24" hidden="false" customHeight="false" outlineLevel="0" collapsed="false">
      <c r="A3" s="10" t="s">
        <v>15</v>
      </c>
      <c r="B3" s="10" t="s">
        <v>42</v>
      </c>
      <c r="C3" s="10" t="s">
        <v>43</v>
      </c>
      <c r="D3" s="10" t="s">
        <v>44</v>
      </c>
      <c r="E3" s="13" t="s">
        <v>45</v>
      </c>
      <c r="F3" s="10" t="n">
        <v>500</v>
      </c>
      <c r="G3" s="10" t="s">
        <v>46</v>
      </c>
      <c r="H3" s="10" t="n">
        <v>0</v>
      </c>
      <c r="I3" s="10" t="s">
        <v>47</v>
      </c>
      <c r="J3" s="10" t="s">
        <v>48</v>
      </c>
      <c r="K3" s="10" t="s">
        <v>49</v>
      </c>
      <c r="L3" s="14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11.53515625" defaultRowHeight="12.8" zeroHeight="false" outlineLevelRow="0" outlineLevelCol="0"/>
  <cols>
    <col collapsed="false" customWidth="false" hidden="false" outlineLevel="0" max="4" min="2" style="3" width="11.52"/>
    <col collapsed="false" customWidth="true" hidden="false" outlineLevel="0" max="5" min="5" style="0" width="34.71"/>
    <col collapsed="false" customWidth="true" hidden="false" outlineLevel="0" max="6" min="6" style="0" width="35.26"/>
    <col collapsed="false" customWidth="true" hidden="false" outlineLevel="0" max="7" min="7" style="0" width="21.08"/>
    <col collapsed="false" customWidth="false" hidden="false" outlineLevel="0" max="10" min="9" style="3" width="11.52"/>
  </cols>
  <sheetData>
    <row r="1" customFormat="false" ht="12.8" hidden="false" customHeight="false" outlineLevel="0" collapsed="false">
      <c r="A1" s="15" t="s">
        <v>0</v>
      </c>
      <c r="B1" s="15" t="s">
        <v>6</v>
      </c>
      <c r="C1" s="15" t="s">
        <v>51</v>
      </c>
      <c r="D1" s="15" t="s">
        <v>52</v>
      </c>
      <c r="E1" s="15" t="s">
        <v>53</v>
      </c>
      <c r="F1" s="15" t="s">
        <v>35</v>
      </c>
      <c r="G1" s="15" t="s">
        <v>54</v>
      </c>
      <c r="H1" s="15" t="s">
        <v>55</v>
      </c>
      <c r="I1" s="16" t="s">
        <v>7</v>
      </c>
      <c r="J1" s="16" t="s">
        <v>8</v>
      </c>
      <c r="K1" s="16" t="s">
        <v>56</v>
      </c>
      <c r="L1" s="17" t="s">
        <v>38</v>
      </c>
      <c r="M1" s="16" t="s">
        <v>39</v>
      </c>
      <c r="N1" s="15" t="s">
        <v>57</v>
      </c>
      <c r="O1" s="15" t="s">
        <v>58</v>
      </c>
      <c r="P1" s="18" t="s">
        <v>10</v>
      </c>
    </row>
    <row r="2" customFormat="false" ht="12.8" hidden="false" customHeight="false" outlineLevel="0" collapsed="false">
      <c r="A2" s="19" t="s">
        <v>11</v>
      </c>
      <c r="B2" s="19" t="s">
        <v>6</v>
      </c>
      <c r="C2" s="19" t="s">
        <v>51</v>
      </c>
      <c r="D2" s="19" t="s">
        <v>52</v>
      </c>
      <c r="E2" s="19" t="s">
        <v>59</v>
      </c>
      <c r="F2" s="19" t="s">
        <v>35</v>
      </c>
      <c r="G2" s="19" t="s">
        <v>36</v>
      </c>
      <c r="H2" s="19" t="s">
        <v>60</v>
      </c>
      <c r="I2" s="20" t="s">
        <v>7</v>
      </c>
      <c r="J2" s="20" t="s">
        <v>8</v>
      </c>
      <c r="K2" s="20" t="s">
        <v>56</v>
      </c>
      <c r="L2" s="21" t="s">
        <v>38</v>
      </c>
      <c r="M2" s="20" t="s">
        <v>39</v>
      </c>
      <c r="N2" s="19" t="s">
        <v>9</v>
      </c>
      <c r="O2" s="19" t="s">
        <v>61</v>
      </c>
      <c r="P2" s="22" t="s">
        <v>14</v>
      </c>
    </row>
    <row r="3" customFormat="false" ht="13" hidden="false" customHeight="false" outlineLevel="0" collapsed="false">
      <c r="A3" s="6" t="s">
        <v>15</v>
      </c>
      <c r="B3" s="6" t="n">
        <v>6</v>
      </c>
      <c r="C3" s="6" t="s">
        <v>24</v>
      </c>
      <c r="D3" s="7" t="s">
        <v>43</v>
      </c>
      <c r="E3" s="6" t="str">
        <f aca="false">C3&amp;"_"&amp;F3</f>
        <v>control_metabolic ratio</v>
      </c>
      <c r="F3" s="7" t="s">
        <v>62</v>
      </c>
      <c r="G3" s="23" t="s">
        <v>63</v>
      </c>
      <c r="H3" s="7" t="s">
        <v>64</v>
      </c>
      <c r="I3" s="7" t="n">
        <v>0.24837662</v>
      </c>
      <c r="J3" s="7" t="n">
        <v>0.05194806</v>
      </c>
      <c r="K3" s="24" t="n">
        <f aca="false">J3*SQRT(B3)</f>
        <v>0.127246240127485</v>
      </c>
      <c r="L3" s="25" t="n">
        <v>2</v>
      </c>
      <c r="M3" s="26" t="s">
        <v>65</v>
      </c>
      <c r="N3" s="7" t="s">
        <v>66</v>
      </c>
      <c r="O3" s="8" t="s">
        <v>67</v>
      </c>
      <c r="P3" s="27"/>
    </row>
    <row r="4" customFormat="false" ht="13" hidden="false" customHeight="false" outlineLevel="0" collapsed="false">
      <c r="A4" s="6" t="s">
        <v>15</v>
      </c>
      <c r="B4" s="3" t="n">
        <v>10</v>
      </c>
      <c r="C4" s="3" t="s">
        <v>29</v>
      </c>
      <c r="D4" s="7" t="s">
        <v>43</v>
      </c>
      <c r="E4" s="6" t="str">
        <f aca="false">C4&amp;"_"&amp;F4</f>
        <v>steatosis_metabolic ratio</v>
      </c>
      <c r="F4" s="7" t="s">
        <v>62</v>
      </c>
      <c r="G4" s="23" t="s">
        <v>63</v>
      </c>
      <c r="H4" s="7" t="s">
        <v>64</v>
      </c>
      <c r="I4" s="7" t="n">
        <v>0.3392857</v>
      </c>
      <c r="J4" s="7" t="n">
        <v>0.0909091</v>
      </c>
      <c r="K4" s="24" t="n">
        <f aca="false">J4*SQRT(B4)</f>
        <v>0.287479816036013</v>
      </c>
      <c r="L4" s="25" t="n">
        <v>2</v>
      </c>
      <c r="M4" s="26" t="s">
        <v>65</v>
      </c>
      <c r="N4" s="7" t="s">
        <v>66</v>
      </c>
      <c r="O4" s="8" t="s">
        <v>67</v>
      </c>
    </row>
    <row r="5" customFormat="false" ht="13" hidden="false" customHeight="false" outlineLevel="0" collapsed="false">
      <c r="A5" s="6" t="s">
        <v>15</v>
      </c>
      <c r="B5" s="3" t="n">
        <v>10</v>
      </c>
      <c r="C5" s="3" t="s">
        <v>32</v>
      </c>
      <c r="D5" s="7" t="s">
        <v>43</v>
      </c>
      <c r="E5" s="6" t="str">
        <f aca="false">C5&amp;"_"&amp;F5</f>
        <v>steatohepatitis_metabolic ratio</v>
      </c>
      <c r="F5" s="7" t="s">
        <v>62</v>
      </c>
      <c r="G5" s="23" t="s">
        <v>63</v>
      </c>
      <c r="H5" s="7" t="s">
        <v>64</v>
      </c>
      <c r="I5" s="7" t="n">
        <v>0.78084415</v>
      </c>
      <c r="J5" s="7" t="n">
        <v>0.15097405</v>
      </c>
      <c r="K5" s="24" t="n">
        <f aca="false">J5*SQRT(B5)</f>
        <v>0.477421865580144</v>
      </c>
      <c r="L5" s="25" t="n">
        <v>2</v>
      </c>
      <c r="M5" s="26" t="s">
        <v>65</v>
      </c>
      <c r="N5" s="7" t="s">
        <v>66</v>
      </c>
      <c r="O5" s="8" t="s">
        <v>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9" activeCellId="0" sqref="H19"/>
    </sheetView>
  </sheetViews>
  <sheetFormatPr defaultColWidth="11.53515625" defaultRowHeight="12.8" zeroHeight="false" outlineLevelRow="0" outlineLevelCol="0"/>
  <cols>
    <col collapsed="false" customWidth="true" hidden="false" outlineLevel="0" max="5" min="5" style="0" width="17.72"/>
    <col collapsed="false" customWidth="false" hidden="false" outlineLevel="0" max="9" min="9" style="3" width="11.52"/>
  </cols>
  <sheetData>
    <row r="1" customFormat="false" ht="12.8" hidden="false" customHeight="false" outlineLevel="0" collapsed="false">
      <c r="A1" s="15" t="s">
        <v>0</v>
      </c>
      <c r="B1" s="15" t="s">
        <v>6</v>
      </c>
      <c r="C1" s="15" t="s">
        <v>51</v>
      </c>
      <c r="D1" s="15" t="s">
        <v>52</v>
      </c>
      <c r="E1" s="15" t="s">
        <v>53</v>
      </c>
      <c r="F1" s="15" t="s">
        <v>35</v>
      </c>
      <c r="G1" s="15" t="s">
        <v>54</v>
      </c>
      <c r="H1" s="15" t="s">
        <v>55</v>
      </c>
      <c r="I1" s="16" t="s">
        <v>7</v>
      </c>
      <c r="J1" s="16" t="s">
        <v>8</v>
      </c>
      <c r="K1" s="16" t="s">
        <v>56</v>
      </c>
      <c r="L1" s="15" t="s">
        <v>57</v>
      </c>
      <c r="M1" s="15" t="s">
        <v>58</v>
      </c>
      <c r="N1" s="18" t="s">
        <v>10</v>
      </c>
    </row>
    <row r="2" customFormat="false" ht="12.8" hidden="false" customHeight="false" outlineLevel="0" collapsed="false">
      <c r="A2" s="19" t="s">
        <v>11</v>
      </c>
      <c r="B2" s="19" t="s">
        <v>6</v>
      </c>
      <c r="C2" s="19" t="s">
        <v>51</v>
      </c>
      <c r="D2" s="19" t="s">
        <v>52</v>
      </c>
      <c r="E2" s="19" t="s">
        <v>59</v>
      </c>
      <c r="F2" s="19" t="s">
        <v>35</v>
      </c>
      <c r="G2" s="19" t="s">
        <v>36</v>
      </c>
      <c r="H2" s="19" t="s">
        <v>60</v>
      </c>
      <c r="I2" s="20" t="s">
        <v>7</v>
      </c>
      <c r="J2" s="20" t="s">
        <v>8</v>
      </c>
      <c r="K2" s="20" t="s">
        <v>56</v>
      </c>
      <c r="L2" s="19" t="s">
        <v>9</v>
      </c>
      <c r="M2" s="19" t="s">
        <v>61</v>
      </c>
      <c r="N2" s="22" t="s">
        <v>14</v>
      </c>
    </row>
    <row r="3" customFormat="false" ht="13" hidden="false" customHeight="false" outlineLevel="0" collapsed="false">
      <c r="A3" s="6" t="s">
        <v>15</v>
      </c>
      <c r="B3" s="6" t="n">
        <v>6</v>
      </c>
      <c r="C3" s="6" t="s">
        <v>24</v>
      </c>
      <c r="D3" s="7" t="s">
        <v>43</v>
      </c>
      <c r="E3" s="6" t="str">
        <f aca="false">C3&amp;"_"&amp;F3</f>
        <v>control_concentration</v>
      </c>
      <c r="F3" s="7" t="s">
        <v>68</v>
      </c>
      <c r="G3" s="23" t="s">
        <v>69</v>
      </c>
      <c r="H3" s="7" t="s">
        <v>70</v>
      </c>
      <c r="I3" s="7" t="n">
        <v>45.108433</v>
      </c>
      <c r="J3" s="0" t="n">
        <v>5.783134</v>
      </c>
      <c r="K3" s="24" t="n">
        <f aca="false">J3*SQRT(B3)</f>
        <v>14.1657274141407</v>
      </c>
      <c r="L3" s="7" t="s">
        <v>71</v>
      </c>
      <c r="M3" s="8" t="s">
        <v>72</v>
      </c>
      <c r="N3" s="27"/>
    </row>
    <row r="4" customFormat="false" ht="13" hidden="false" customHeight="false" outlineLevel="0" collapsed="false">
      <c r="A4" s="6" t="s">
        <v>15</v>
      </c>
      <c r="B4" s="3" t="n">
        <v>10</v>
      </c>
      <c r="C4" s="3" t="s">
        <v>29</v>
      </c>
      <c r="D4" s="7" t="s">
        <v>43</v>
      </c>
      <c r="E4" s="6" t="str">
        <f aca="false">C4&amp;"_"&amp;F4</f>
        <v>steatosis_concentration</v>
      </c>
      <c r="F4" s="7" t="s">
        <v>68</v>
      </c>
      <c r="G4" s="23" t="s">
        <v>69</v>
      </c>
      <c r="H4" s="7" t="s">
        <v>70</v>
      </c>
      <c r="I4" s="7" t="n">
        <v>50.31325</v>
      </c>
      <c r="J4" s="0" t="n">
        <v>5.204824</v>
      </c>
      <c r="K4" s="24" t="n">
        <f aca="false">J4*SQRT(B4)</f>
        <v>16.4590986603082</v>
      </c>
      <c r="L4" s="7" t="s">
        <v>71</v>
      </c>
      <c r="M4" s="8" t="s">
        <v>72</v>
      </c>
    </row>
    <row r="5" customFormat="false" ht="13" hidden="false" customHeight="false" outlineLevel="0" collapsed="false">
      <c r="A5" s="6" t="s">
        <v>15</v>
      </c>
      <c r="B5" s="3" t="n">
        <v>10</v>
      </c>
      <c r="C5" s="3" t="s">
        <v>32</v>
      </c>
      <c r="D5" s="7" t="s">
        <v>43</v>
      </c>
      <c r="E5" s="6" t="str">
        <f aca="false">C5&amp;"_"&amp;F5</f>
        <v>steatohepatitis_concentration</v>
      </c>
      <c r="F5" s="7" t="s">
        <v>68</v>
      </c>
      <c r="G5" s="23" t="s">
        <v>69</v>
      </c>
      <c r="H5" s="7" t="s">
        <v>70</v>
      </c>
      <c r="I5" s="7" t="n">
        <v>67.46988</v>
      </c>
      <c r="J5" s="0" t="n">
        <v>4.048194</v>
      </c>
      <c r="K5" s="24" t="n">
        <f aca="false">J5*SQRT(B5)</f>
        <v>12.8015134502277</v>
      </c>
      <c r="L5" s="7" t="s">
        <v>71</v>
      </c>
      <c r="M5" s="8" t="s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5920</TotalTime>
  <Application>LibreOffice/7.3.0.3$Windows_X86_64 LibreOffice_project/0f246aa12d0eee4a0f7adcefbf7c878fc2238db3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2023-03-01T15:06:12Z</dcterms:created>
  <dc:creator/>
  <dc:description/>
  <dc:language>en-US</dc:language>
  <cp:lastModifiedBy/>
  <dcterms:modified xsi:type="dcterms:W3CDTF">2023-03-26T21:51:48Z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